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7645" windowHeight="11160" tabRatio="349"/>
  </bookViews>
  <sheets>
    <sheet name="Reunion Log" sheetId="1" r:id="rId1"/>
    <sheet name="SCARS Member Roster" sheetId="2" state="hidden" r:id="rId2"/>
    <sheet name="Mode" sheetId="3" r:id="rId3"/>
    <sheet name="Band" sheetId="4" state="hidden" r:id="rId4"/>
    <sheet name="Power" sheetId="5" state="hidden" r:id="rId5"/>
  </sheets>
  <definedNames>
    <definedName name="_xlnm.Print_Area" localSheetId="0">'Reunion Log'!$A$1:$P$121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" l="1"/>
  <c r="I21" i="1"/>
  <c r="J21" i="1"/>
  <c r="K21" i="1"/>
  <c r="L21" i="1"/>
  <c r="M21" i="1"/>
  <c r="E22" i="1"/>
  <c r="I22" i="1"/>
  <c r="J22" i="1"/>
  <c r="K22" i="1"/>
  <c r="L22" i="1"/>
  <c r="M22" i="1"/>
  <c r="E23" i="1"/>
  <c r="I23" i="1"/>
  <c r="J23" i="1"/>
  <c r="K23" i="1"/>
  <c r="L23" i="1"/>
  <c r="M23" i="1"/>
  <c r="E24" i="1"/>
  <c r="I24" i="1"/>
  <c r="J24" i="1"/>
  <c r="K24" i="1"/>
  <c r="L24" i="1"/>
  <c r="M24" i="1"/>
  <c r="E25" i="1"/>
  <c r="I25" i="1"/>
  <c r="J25" i="1"/>
  <c r="K25" i="1"/>
  <c r="L25" i="1"/>
  <c r="M25" i="1"/>
  <c r="E26" i="1"/>
  <c r="I26" i="1"/>
  <c r="J26" i="1"/>
  <c r="K26" i="1"/>
  <c r="L26" i="1"/>
  <c r="M26" i="1"/>
  <c r="E27" i="1"/>
  <c r="I27" i="1"/>
  <c r="J27" i="1"/>
  <c r="K27" i="1"/>
  <c r="L27" i="1"/>
  <c r="M27" i="1"/>
  <c r="E28" i="1"/>
  <c r="I28" i="1"/>
  <c r="J28" i="1"/>
  <c r="K28" i="1"/>
  <c r="L28" i="1"/>
  <c r="M28" i="1"/>
  <c r="E29" i="1"/>
  <c r="I29" i="1"/>
  <c r="J29" i="1"/>
  <c r="K29" i="1"/>
  <c r="L29" i="1"/>
  <c r="M29" i="1"/>
  <c r="E30" i="1"/>
  <c r="I30" i="1"/>
  <c r="J30" i="1"/>
  <c r="K30" i="1"/>
  <c r="L30" i="1"/>
  <c r="M30" i="1"/>
  <c r="E31" i="1"/>
  <c r="I31" i="1"/>
  <c r="J31" i="1"/>
  <c r="K31" i="1"/>
  <c r="L31" i="1"/>
  <c r="M31" i="1"/>
  <c r="E32" i="1"/>
  <c r="I32" i="1"/>
  <c r="J32" i="1"/>
  <c r="K32" i="1"/>
  <c r="L32" i="1"/>
  <c r="M32" i="1"/>
  <c r="E33" i="1"/>
  <c r="I33" i="1"/>
  <c r="J33" i="1"/>
  <c r="K33" i="1"/>
  <c r="L33" i="1"/>
  <c r="M33" i="1"/>
  <c r="E34" i="1"/>
  <c r="I34" i="1"/>
  <c r="J34" i="1"/>
  <c r="K34" i="1"/>
  <c r="L34" i="1"/>
  <c r="M34" i="1"/>
  <c r="E35" i="1"/>
  <c r="I35" i="1"/>
  <c r="J35" i="1"/>
  <c r="K35" i="1"/>
  <c r="L35" i="1"/>
  <c r="M35" i="1"/>
  <c r="E36" i="1"/>
  <c r="I36" i="1"/>
  <c r="J36" i="1"/>
  <c r="K36" i="1"/>
  <c r="L36" i="1"/>
  <c r="M36" i="1"/>
  <c r="E37" i="1"/>
  <c r="I37" i="1"/>
  <c r="J37" i="1"/>
  <c r="K37" i="1"/>
  <c r="L37" i="1"/>
  <c r="M37" i="1"/>
  <c r="E38" i="1"/>
  <c r="I38" i="1"/>
  <c r="J38" i="1"/>
  <c r="K38" i="1"/>
  <c r="L38" i="1"/>
  <c r="M38" i="1"/>
  <c r="E39" i="1"/>
  <c r="I39" i="1"/>
  <c r="J39" i="1"/>
  <c r="K39" i="1"/>
  <c r="L39" i="1"/>
  <c r="M39" i="1"/>
  <c r="E40" i="1"/>
  <c r="I40" i="1"/>
  <c r="J40" i="1"/>
  <c r="K40" i="1"/>
  <c r="L40" i="1"/>
  <c r="M40" i="1"/>
  <c r="E41" i="1"/>
  <c r="I41" i="1"/>
  <c r="J41" i="1"/>
  <c r="K41" i="1"/>
  <c r="L41" i="1"/>
  <c r="M41" i="1"/>
  <c r="E42" i="1"/>
  <c r="I42" i="1"/>
  <c r="J42" i="1"/>
  <c r="K42" i="1"/>
  <c r="L42" i="1"/>
  <c r="M42" i="1"/>
  <c r="E43" i="1"/>
  <c r="I43" i="1"/>
  <c r="J43" i="1"/>
  <c r="K43" i="1"/>
  <c r="L43" i="1"/>
  <c r="M43" i="1"/>
  <c r="E44" i="1"/>
  <c r="I44" i="1"/>
  <c r="J44" i="1"/>
  <c r="K44" i="1"/>
  <c r="L44" i="1"/>
  <c r="M44" i="1"/>
  <c r="E45" i="1"/>
  <c r="I45" i="1"/>
  <c r="J45" i="1"/>
  <c r="K45" i="1"/>
  <c r="L45" i="1"/>
  <c r="M45" i="1"/>
  <c r="E46" i="1"/>
  <c r="I46" i="1"/>
  <c r="J46" i="1"/>
  <c r="K46" i="1"/>
  <c r="L46" i="1"/>
  <c r="M46" i="1"/>
  <c r="E47" i="1"/>
  <c r="I47" i="1"/>
  <c r="J47" i="1"/>
  <c r="K47" i="1"/>
  <c r="L47" i="1"/>
  <c r="M47" i="1"/>
  <c r="E48" i="1"/>
  <c r="I48" i="1"/>
  <c r="J48" i="1"/>
  <c r="K48" i="1"/>
  <c r="L48" i="1"/>
  <c r="M48" i="1"/>
  <c r="E49" i="1"/>
  <c r="I49" i="1"/>
  <c r="J49" i="1"/>
  <c r="K49" i="1"/>
  <c r="L49" i="1"/>
  <c r="M49" i="1"/>
  <c r="E50" i="1"/>
  <c r="I50" i="1"/>
  <c r="J50" i="1"/>
  <c r="K50" i="1"/>
  <c r="L50" i="1"/>
  <c r="M50" i="1"/>
  <c r="E51" i="1"/>
  <c r="I51" i="1"/>
  <c r="J51" i="1"/>
  <c r="K51" i="1"/>
  <c r="L51" i="1"/>
  <c r="M51" i="1"/>
  <c r="E52" i="1"/>
  <c r="I52" i="1"/>
  <c r="J52" i="1"/>
  <c r="K52" i="1"/>
  <c r="L52" i="1"/>
  <c r="M52" i="1"/>
  <c r="E53" i="1"/>
  <c r="I53" i="1"/>
  <c r="J53" i="1"/>
  <c r="K53" i="1"/>
  <c r="L53" i="1"/>
  <c r="M53" i="1"/>
  <c r="E54" i="1"/>
  <c r="I54" i="1"/>
  <c r="J54" i="1"/>
  <c r="K54" i="1"/>
  <c r="L54" i="1"/>
  <c r="M54" i="1"/>
  <c r="E55" i="1"/>
  <c r="I55" i="1"/>
  <c r="J55" i="1"/>
  <c r="K55" i="1"/>
  <c r="L55" i="1"/>
  <c r="M55" i="1"/>
  <c r="E56" i="1"/>
  <c r="I56" i="1"/>
  <c r="J56" i="1"/>
  <c r="K56" i="1"/>
  <c r="L56" i="1"/>
  <c r="M56" i="1"/>
  <c r="E57" i="1"/>
  <c r="I57" i="1"/>
  <c r="J57" i="1"/>
  <c r="K57" i="1"/>
  <c r="L57" i="1"/>
  <c r="M57" i="1"/>
  <c r="E58" i="1"/>
  <c r="I58" i="1"/>
  <c r="J58" i="1"/>
  <c r="K58" i="1"/>
  <c r="L58" i="1"/>
  <c r="M58" i="1"/>
  <c r="E59" i="1"/>
  <c r="I59" i="1"/>
  <c r="J59" i="1"/>
  <c r="K59" i="1"/>
  <c r="L59" i="1"/>
  <c r="M59" i="1"/>
  <c r="E60" i="1"/>
  <c r="I60" i="1"/>
  <c r="J60" i="1"/>
  <c r="K60" i="1"/>
  <c r="L60" i="1"/>
  <c r="M60" i="1"/>
  <c r="E61" i="1"/>
  <c r="I61" i="1"/>
  <c r="J61" i="1"/>
  <c r="K61" i="1"/>
  <c r="L61" i="1"/>
  <c r="M61" i="1"/>
  <c r="E62" i="1"/>
  <c r="I62" i="1"/>
  <c r="J62" i="1"/>
  <c r="K62" i="1"/>
  <c r="L62" i="1"/>
  <c r="M62" i="1"/>
  <c r="E63" i="1"/>
  <c r="I63" i="1"/>
  <c r="J63" i="1"/>
  <c r="K63" i="1"/>
  <c r="L63" i="1"/>
  <c r="M63" i="1"/>
  <c r="E64" i="1"/>
  <c r="I64" i="1"/>
  <c r="J64" i="1"/>
  <c r="K64" i="1"/>
  <c r="L64" i="1"/>
  <c r="M64" i="1"/>
  <c r="E65" i="1"/>
  <c r="I65" i="1"/>
  <c r="J65" i="1"/>
  <c r="K65" i="1"/>
  <c r="L65" i="1"/>
  <c r="M65" i="1"/>
  <c r="E66" i="1"/>
  <c r="I66" i="1"/>
  <c r="J66" i="1"/>
  <c r="K66" i="1"/>
  <c r="L66" i="1"/>
  <c r="M66" i="1"/>
  <c r="E67" i="1"/>
  <c r="I67" i="1"/>
  <c r="J67" i="1"/>
  <c r="K67" i="1"/>
  <c r="L67" i="1"/>
  <c r="M67" i="1"/>
  <c r="E68" i="1"/>
  <c r="I68" i="1"/>
  <c r="J68" i="1"/>
  <c r="K68" i="1"/>
  <c r="L68" i="1"/>
  <c r="M68" i="1"/>
  <c r="E69" i="1"/>
  <c r="I69" i="1"/>
  <c r="J69" i="1"/>
  <c r="K69" i="1"/>
  <c r="L69" i="1"/>
  <c r="M69" i="1"/>
  <c r="E70" i="1"/>
  <c r="I70" i="1"/>
  <c r="J70" i="1"/>
  <c r="K70" i="1"/>
  <c r="L70" i="1"/>
  <c r="M70" i="1"/>
  <c r="E71" i="1"/>
  <c r="I71" i="1"/>
  <c r="J71" i="1"/>
  <c r="K71" i="1"/>
  <c r="L71" i="1"/>
  <c r="M71" i="1"/>
  <c r="E72" i="1"/>
  <c r="I72" i="1"/>
  <c r="J72" i="1"/>
  <c r="K72" i="1"/>
  <c r="L72" i="1"/>
  <c r="M72" i="1"/>
  <c r="E73" i="1"/>
  <c r="I73" i="1"/>
  <c r="J73" i="1"/>
  <c r="K73" i="1"/>
  <c r="L73" i="1"/>
  <c r="M73" i="1"/>
  <c r="E74" i="1"/>
  <c r="I74" i="1"/>
  <c r="J74" i="1"/>
  <c r="K74" i="1"/>
  <c r="L74" i="1"/>
  <c r="M74" i="1"/>
  <c r="E75" i="1"/>
  <c r="I75" i="1"/>
  <c r="J75" i="1"/>
  <c r="K75" i="1"/>
  <c r="L75" i="1"/>
  <c r="M75" i="1"/>
  <c r="E76" i="1"/>
  <c r="I76" i="1"/>
  <c r="J76" i="1"/>
  <c r="K76" i="1"/>
  <c r="L76" i="1"/>
  <c r="M76" i="1"/>
  <c r="E77" i="1"/>
  <c r="I77" i="1"/>
  <c r="J77" i="1"/>
  <c r="K77" i="1"/>
  <c r="L77" i="1"/>
  <c r="M77" i="1"/>
  <c r="E78" i="1"/>
  <c r="I78" i="1"/>
  <c r="J78" i="1"/>
  <c r="K78" i="1"/>
  <c r="L78" i="1"/>
  <c r="M78" i="1"/>
  <c r="E79" i="1"/>
  <c r="I79" i="1"/>
  <c r="J79" i="1"/>
  <c r="K79" i="1"/>
  <c r="L79" i="1"/>
  <c r="M79" i="1"/>
  <c r="E80" i="1"/>
  <c r="I80" i="1"/>
  <c r="J80" i="1"/>
  <c r="K80" i="1"/>
  <c r="L80" i="1"/>
  <c r="M80" i="1"/>
  <c r="E81" i="1"/>
  <c r="I81" i="1"/>
  <c r="J81" i="1"/>
  <c r="K81" i="1"/>
  <c r="L81" i="1"/>
  <c r="M81" i="1"/>
  <c r="E82" i="1"/>
  <c r="I82" i="1"/>
  <c r="J82" i="1"/>
  <c r="K82" i="1"/>
  <c r="L82" i="1"/>
  <c r="M82" i="1"/>
  <c r="E83" i="1"/>
  <c r="I83" i="1"/>
  <c r="J83" i="1"/>
  <c r="K83" i="1"/>
  <c r="L83" i="1"/>
  <c r="M83" i="1"/>
  <c r="E84" i="1"/>
  <c r="I84" i="1"/>
  <c r="J84" i="1"/>
  <c r="K84" i="1"/>
  <c r="L84" i="1"/>
  <c r="M84" i="1"/>
  <c r="E85" i="1"/>
  <c r="I85" i="1"/>
  <c r="J85" i="1"/>
  <c r="K85" i="1"/>
  <c r="L85" i="1"/>
  <c r="M85" i="1"/>
  <c r="E86" i="1"/>
  <c r="I86" i="1"/>
  <c r="J86" i="1"/>
  <c r="K86" i="1"/>
  <c r="L86" i="1"/>
  <c r="M86" i="1"/>
  <c r="E87" i="1"/>
  <c r="I87" i="1"/>
  <c r="J87" i="1"/>
  <c r="K87" i="1"/>
  <c r="L87" i="1"/>
  <c r="M87" i="1"/>
  <c r="E88" i="1"/>
  <c r="I88" i="1"/>
  <c r="J88" i="1"/>
  <c r="K88" i="1"/>
  <c r="L88" i="1"/>
  <c r="M88" i="1"/>
  <c r="E89" i="1"/>
  <c r="I89" i="1"/>
  <c r="J89" i="1"/>
  <c r="K89" i="1"/>
  <c r="L89" i="1"/>
  <c r="M89" i="1"/>
  <c r="E90" i="1"/>
  <c r="I90" i="1"/>
  <c r="J90" i="1"/>
  <c r="K90" i="1"/>
  <c r="L90" i="1"/>
  <c r="M90" i="1"/>
  <c r="E91" i="1"/>
  <c r="I91" i="1"/>
  <c r="J91" i="1"/>
  <c r="K91" i="1"/>
  <c r="L91" i="1"/>
  <c r="M91" i="1"/>
  <c r="E92" i="1"/>
  <c r="I92" i="1"/>
  <c r="J92" i="1"/>
  <c r="K92" i="1"/>
  <c r="L92" i="1"/>
  <c r="M92" i="1"/>
  <c r="E93" i="1"/>
  <c r="I93" i="1"/>
  <c r="J93" i="1"/>
  <c r="K93" i="1"/>
  <c r="L93" i="1"/>
  <c r="M93" i="1"/>
  <c r="E94" i="1"/>
  <c r="I94" i="1"/>
  <c r="J94" i="1"/>
  <c r="K94" i="1"/>
  <c r="L94" i="1"/>
  <c r="M94" i="1"/>
  <c r="E95" i="1"/>
  <c r="I95" i="1"/>
  <c r="J95" i="1"/>
  <c r="K95" i="1"/>
  <c r="L95" i="1"/>
  <c r="M95" i="1"/>
  <c r="E96" i="1"/>
  <c r="I96" i="1"/>
  <c r="J96" i="1"/>
  <c r="K96" i="1"/>
  <c r="L96" i="1"/>
  <c r="M96" i="1"/>
  <c r="E97" i="1"/>
  <c r="I97" i="1"/>
  <c r="J97" i="1"/>
  <c r="K97" i="1"/>
  <c r="L97" i="1"/>
  <c r="M97" i="1"/>
  <c r="E98" i="1"/>
  <c r="I98" i="1"/>
  <c r="J98" i="1"/>
  <c r="K98" i="1"/>
  <c r="L98" i="1"/>
  <c r="M98" i="1"/>
  <c r="E99" i="1"/>
  <c r="I99" i="1"/>
  <c r="J99" i="1"/>
  <c r="K99" i="1"/>
  <c r="L99" i="1"/>
  <c r="M99" i="1"/>
  <c r="E100" i="1"/>
  <c r="I100" i="1"/>
  <c r="J100" i="1"/>
  <c r="K100" i="1"/>
  <c r="L100" i="1"/>
  <c r="M100" i="1"/>
  <c r="E101" i="1"/>
  <c r="I101" i="1"/>
  <c r="J101" i="1"/>
  <c r="K101" i="1"/>
  <c r="L101" i="1"/>
  <c r="M101" i="1"/>
  <c r="E102" i="1"/>
  <c r="I102" i="1"/>
  <c r="J102" i="1"/>
  <c r="K102" i="1"/>
  <c r="L102" i="1"/>
  <c r="M102" i="1"/>
  <c r="E103" i="1"/>
  <c r="I103" i="1"/>
  <c r="J103" i="1"/>
  <c r="K103" i="1"/>
  <c r="L103" i="1"/>
  <c r="M103" i="1"/>
  <c r="E104" i="1"/>
  <c r="I104" i="1"/>
  <c r="J104" i="1"/>
  <c r="K104" i="1"/>
  <c r="L104" i="1"/>
  <c r="M104" i="1"/>
  <c r="E105" i="1"/>
  <c r="I105" i="1"/>
  <c r="J105" i="1"/>
  <c r="K105" i="1"/>
  <c r="L105" i="1"/>
  <c r="M105" i="1"/>
  <c r="E106" i="1"/>
  <c r="I106" i="1"/>
  <c r="J106" i="1"/>
  <c r="K106" i="1"/>
  <c r="L106" i="1"/>
  <c r="M106" i="1"/>
  <c r="E107" i="1"/>
  <c r="I107" i="1"/>
  <c r="J107" i="1"/>
  <c r="K107" i="1"/>
  <c r="L107" i="1"/>
  <c r="M107" i="1"/>
  <c r="E108" i="1"/>
  <c r="I108" i="1"/>
  <c r="J108" i="1"/>
  <c r="K108" i="1"/>
  <c r="L108" i="1"/>
  <c r="M108" i="1"/>
  <c r="E109" i="1"/>
  <c r="I109" i="1"/>
  <c r="J109" i="1"/>
  <c r="K109" i="1"/>
  <c r="L109" i="1"/>
  <c r="M109" i="1"/>
  <c r="E110" i="1"/>
  <c r="I110" i="1"/>
  <c r="J110" i="1"/>
  <c r="K110" i="1"/>
  <c r="L110" i="1"/>
  <c r="M110" i="1"/>
  <c r="E111" i="1"/>
  <c r="I111" i="1"/>
  <c r="J111" i="1"/>
  <c r="K111" i="1"/>
  <c r="L111" i="1"/>
  <c r="M111" i="1"/>
  <c r="E112" i="1"/>
  <c r="I112" i="1"/>
  <c r="J112" i="1"/>
  <c r="K112" i="1"/>
  <c r="L112" i="1"/>
  <c r="M112" i="1"/>
  <c r="E113" i="1"/>
  <c r="I113" i="1"/>
  <c r="J113" i="1"/>
  <c r="K113" i="1"/>
  <c r="L113" i="1"/>
  <c r="M113" i="1"/>
  <c r="E114" i="1"/>
  <c r="I114" i="1"/>
  <c r="J114" i="1"/>
  <c r="K114" i="1"/>
  <c r="L114" i="1"/>
  <c r="M114" i="1"/>
  <c r="E115" i="1"/>
  <c r="I115" i="1"/>
  <c r="J115" i="1"/>
  <c r="K115" i="1"/>
  <c r="L115" i="1"/>
  <c r="M115" i="1"/>
  <c r="E116" i="1"/>
  <c r="I116" i="1"/>
  <c r="J116" i="1"/>
  <c r="K116" i="1"/>
  <c r="L116" i="1"/>
  <c r="M116" i="1"/>
  <c r="E117" i="1"/>
  <c r="I117" i="1"/>
  <c r="J117" i="1"/>
  <c r="K117" i="1"/>
  <c r="L117" i="1"/>
  <c r="M117" i="1"/>
  <c r="E118" i="1"/>
  <c r="I118" i="1"/>
  <c r="J118" i="1"/>
  <c r="K118" i="1"/>
  <c r="L118" i="1"/>
  <c r="M118" i="1"/>
  <c r="E119" i="1"/>
  <c r="I119" i="1"/>
  <c r="J119" i="1"/>
  <c r="K119" i="1"/>
  <c r="L119" i="1"/>
  <c r="M119" i="1"/>
  <c r="E120" i="1"/>
  <c r="I120" i="1"/>
  <c r="J120" i="1"/>
  <c r="K120" i="1"/>
  <c r="L120" i="1"/>
  <c r="M120" i="1"/>
  <c r="E121" i="1"/>
  <c r="I121" i="1"/>
  <c r="J121" i="1"/>
  <c r="K121" i="1"/>
  <c r="L121" i="1"/>
  <c r="M121" i="1"/>
  <c r="I20" i="1"/>
  <c r="E20" i="1"/>
  <c r="J20" i="1"/>
  <c r="K20" i="1"/>
  <c r="L20" i="1"/>
  <c r="M20" i="1"/>
  <c r="N13" i="1" l="1"/>
</calcChain>
</file>

<file path=xl/sharedStrings.xml><?xml version="1.0" encoding="utf-8"?>
<sst xmlns="http://schemas.openxmlformats.org/spreadsheetml/2006/main" count="248" uniqueCount="171">
  <si>
    <t>Date/Time</t>
  </si>
  <si>
    <t>Call</t>
  </si>
  <si>
    <t>RS(T)</t>
  </si>
  <si>
    <t>Band</t>
  </si>
  <si>
    <t>Mode</t>
  </si>
  <si>
    <t>Grid</t>
  </si>
  <si>
    <t>Points</t>
  </si>
  <si>
    <t>Multi</t>
  </si>
  <si>
    <t>Total Points</t>
  </si>
  <si>
    <t>Your GRID</t>
  </si>
  <si>
    <t>Your NAME</t>
  </si>
  <si>
    <t>Your CALL</t>
  </si>
  <si>
    <t>Your POWER</t>
  </si>
  <si>
    <t>K4CGA</t>
  </si>
  <si>
    <t>SCARS Member?</t>
  </si>
  <si>
    <t>SCARS</t>
  </si>
  <si>
    <t>Y</t>
  </si>
  <si>
    <t>SSB</t>
  </si>
  <si>
    <t>CW</t>
  </si>
  <si>
    <t>FT8</t>
  </si>
  <si>
    <t>FM</t>
  </si>
  <si>
    <t>K4ELI</t>
  </si>
  <si>
    <t>WB4QOJ</t>
  </si>
  <si>
    <t>K4LDC</t>
  </si>
  <si>
    <t>K0CZR</t>
  </si>
  <si>
    <t>KM4VTE</t>
  </si>
  <si>
    <t>WB3ILX</t>
  </si>
  <si>
    <t>HIGH</t>
  </si>
  <si>
    <t>LOW</t>
  </si>
  <si>
    <t>QRP</t>
  </si>
  <si>
    <t>QRP (&lt;5w); Low (&lt;150w); High (&gt;150w)</t>
  </si>
  <si>
    <t>Y = YES;  N = NO</t>
  </si>
  <si>
    <t>Name</t>
  </si>
  <si>
    <t>Year Lic.</t>
  </si>
  <si>
    <t>Joined</t>
  </si>
  <si>
    <t>Sent RS</t>
  </si>
  <si>
    <t>Rcvd RS</t>
  </si>
  <si>
    <t>Year Joined SCARS</t>
  </si>
  <si>
    <t>Year First Licensed</t>
  </si>
  <si>
    <t>Comments</t>
  </si>
  <si>
    <t>KN4CQJ</t>
  </si>
  <si>
    <t>KM4IKO</t>
  </si>
  <si>
    <t>K4SSE</t>
  </si>
  <si>
    <t>W4TXA</t>
  </si>
  <si>
    <t>K4TXA</t>
  </si>
  <si>
    <t>W4DTO</t>
  </si>
  <si>
    <t>NA4JW</t>
  </si>
  <si>
    <t>WA4MDQ</t>
  </si>
  <si>
    <t>W4ADH</t>
  </si>
  <si>
    <t>K4BBH</t>
  </si>
  <si>
    <t>KM4PEB</t>
  </si>
  <si>
    <t>Silver Comet Amateur Radio Society</t>
  </si>
  <si>
    <t>2019 On The Air Reunion</t>
  </si>
  <si>
    <t>SCARS Membership Roster</t>
  </si>
  <si>
    <t>Active</t>
  </si>
  <si>
    <t>Year Liscensed</t>
  </si>
  <si>
    <t>Year Joined</t>
  </si>
  <si>
    <t>Grid Square</t>
  </si>
  <si>
    <t>EM73ox</t>
  </si>
  <si>
    <t>EM73px</t>
  </si>
  <si>
    <t>EM73pu</t>
  </si>
  <si>
    <t>EM73nu</t>
  </si>
  <si>
    <t>EM73nb</t>
  </si>
  <si>
    <t>EM73nv</t>
  </si>
  <si>
    <t>EM73pw</t>
  </si>
  <si>
    <t>EM73ov</t>
  </si>
  <si>
    <t>EM73ow</t>
  </si>
  <si>
    <t>EM73nt</t>
  </si>
  <si>
    <t>EM73mx</t>
  </si>
  <si>
    <t>EM73na</t>
  </si>
  <si>
    <t>EM73ou</t>
  </si>
  <si>
    <t>EM74la</t>
  </si>
  <si>
    <t>K4DMF</t>
  </si>
  <si>
    <t>EMt3px</t>
  </si>
  <si>
    <t>KK4BCE</t>
  </si>
  <si>
    <t>EM74qb</t>
  </si>
  <si>
    <t>Cumulative Point Total</t>
  </si>
  <si>
    <t>Operating Band</t>
  </si>
  <si>
    <t>Power</t>
  </si>
  <si>
    <t>Name2</t>
  </si>
  <si>
    <t xml:space="preserve">Charles </t>
  </si>
  <si>
    <t>Turner</t>
  </si>
  <si>
    <t xml:space="preserve">Chuck </t>
  </si>
  <si>
    <t>Walls</t>
  </si>
  <si>
    <t>Chrichton</t>
  </si>
  <si>
    <t>Morgan</t>
  </si>
  <si>
    <t>Reynolds</t>
  </si>
  <si>
    <t>Steve</t>
  </si>
  <si>
    <t>Larry</t>
  </si>
  <si>
    <t>John</t>
  </si>
  <si>
    <t>Cheri</t>
  </si>
  <si>
    <t>Akey</t>
  </si>
  <si>
    <t>LeBoeuf</t>
  </si>
  <si>
    <t>Long</t>
  </si>
  <si>
    <t>Hood</t>
  </si>
  <si>
    <t>Ozment</t>
  </si>
  <si>
    <t>Leber</t>
  </si>
  <si>
    <t>West</t>
  </si>
  <si>
    <t>McDaniel</t>
  </si>
  <si>
    <t>Jones</t>
  </si>
  <si>
    <t>Walk</t>
  </si>
  <si>
    <t>Bowie</t>
  </si>
  <si>
    <t>Fuller</t>
  </si>
  <si>
    <t>Whitfield</t>
  </si>
  <si>
    <t>James</t>
  </si>
  <si>
    <t>Tommy</t>
  </si>
  <si>
    <t>Ken</t>
  </si>
  <si>
    <t>Dan</t>
  </si>
  <si>
    <t>Ruth</t>
  </si>
  <si>
    <t>Ron</t>
  </si>
  <si>
    <t>Lee</t>
  </si>
  <si>
    <t>Eric</t>
  </si>
  <si>
    <t>David</t>
  </si>
  <si>
    <t>Dave</t>
  </si>
  <si>
    <t>Stan</t>
  </si>
  <si>
    <t>DuVall</t>
  </si>
  <si>
    <t>N4DET</t>
  </si>
  <si>
    <t>Curt</t>
  </si>
  <si>
    <t>Bryan</t>
  </si>
  <si>
    <t>K4SHW</t>
  </si>
  <si>
    <t>K4MWC</t>
  </si>
  <si>
    <t xml:space="preserve">Mike </t>
  </si>
  <si>
    <t>Blackwell</t>
  </si>
  <si>
    <t>KN4HLZ</t>
  </si>
  <si>
    <t xml:space="preserve">Daniel </t>
  </si>
  <si>
    <t>Carroll</t>
  </si>
  <si>
    <t>K4ZEC</t>
  </si>
  <si>
    <t>JN4ZNC</t>
  </si>
  <si>
    <t xml:space="preserve">Janet </t>
  </si>
  <si>
    <t>KM4CUB</t>
  </si>
  <si>
    <t>Cline</t>
  </si>
  <si>
    <t>Diggs</t>
  </si>
  <si>
    <t>KN4LFJ</t>
  </si>
  <si>
    <t>Jose</t>
  </si>
  <si>
    <t>Gonzales</t>
  </si>
  <si>
    <t>KN4KKO</t>
  </si>
  <si>
    <t>Marty</t>
  </si>
  <si>
    <t>Grayson</t>
  </si>
  <si>
    <t>KC4YCM</t>
  </si>
  <si>
    <t>Neal</t>
  </si>
  <si>
    <t>Griggs</t>
  </si>
  <si>
    <t>KM4EOG</t>
  </si>
  <si>
    <t>Everett</t>
  </si>
  <si>
    <t>Keith</t>
  </si>
  <si>
    <t>KN4IEP</t>
  </si>
  <si>
    <t>Joiner</t>
  </si>
  <si>
    <t>KN4QQD</t>
  </si>
  <si>
    <t>Barry</t>
  </si>
  <si>
    <t>KN4RTJ</t>
  </si>
  <si>
    <t xml:space="preserve">Robert </t>
  </si>
  <si>
    <t>Oliver</t>
  </si>
  <si>
    <t>KN4AHC</t>
  </si>
  <si>
    <t>Bernie</t>
  </si>
  <si>
    <t>Poulin</t>
  </si>
  <si>
    <t>KN4VBP</t>
  </si>
  <si>
    <t>William</t>
  </si>
  <si>
    <t>Peters</t>
  </si>
  <si>
    <t>Michael</t>
  </si>
  <si>
    <t>Nicely</t>
  </si>
  <si>
    <t>KN4SFI</t>
  </si>
  <si>
    <t>Mills</t>
  </si>
  <si>
    <t>KD4ISM</t>
  </si>
  <si>
    <t xml:space="preserve">Rober </t>
  </si>
  <si>
    <t>O'Donald</t>
  </si>
  <si>
    <t>WB45BRA</t>
  </si>
  <si>
    <t>Troy</t>
  </si>
  <si>
    <t>Davis</t>
  </si>
  <si>
    <t>K4JDA</t>
  </si>
  <si>
    <t>N4MNW</t>
  </si>
  <si>
    <t>Neale</t>
  </si>
  <si>
    <t>Weitzmann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</si>
</sst>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28"/>
      <name val="Monotype Corsiva"/>
      <family val="4"/>
    </font>
    <font>
      <b/>
      <sz val="10"/>
      <color rgb="FFFF0000"/>
      <name val="Arial"/>
      <family val="2"/>
    </font>
    <font>
      <b/>
      <sz val="16"/>
      <color rgb="FFFF0000"/>
      <name val="Arial"/>
      <family val="2"/>
    </font>
    <font>
      <sz val="16"/>
      <color rgb="FFFF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center"/>
    </xf>
    <xf numFmtId="0" fontId="0" fillId="0" borderId="5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2" fillId="2" borderId="8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" fillId="2" borderId="8" xfId="0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2" fillId="2" borderId="18" xfId="0" applyFont="1" applyFill="1" applyBorder="1" applyAlignment="1">
      <alignment wrapText="1"/>
    </xf>
    <xf numFmtId="0" fontId="2" fillId="2" borderId="19" xfId="0" applyFont="1" applyFill="1" applyBorder="1" applyAlignment="1">
      <alignment wrapText="1"/>
    </xf>
    <xf numFmtId="0" fontId="2" fillId="2" borderId="18" xfId="0" applyFont="1" applyFill="1" applyBorder="1" applyAlignment="1">
      <alignment horizontal="center" wrapText="1"/>
    </xf>
    <xf numFmtId="0" fontId="9" fillId="2" borderId="9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/>
    <xf numFmtId="0" fontId="6" fillId="0" borderId="27" xfId="0" applyFont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0" fillId="0" borderId="13" xfId="0" applyBorder="1"/>
    <xf numFmtId="0" fontId="0" fillId="0" borderId="6" xfId="0" applyBorder="1" applyAlignment="1">
      <alignment horizontal="center"/>
    </xf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34" xfId="0" applyBorder="1"/>
    <xf numFmtId="0" fontId="0" fillId="0" borderId="3" xfId="0" applyBorder="1" applyAlignment="1">
      <alignment horizontal="center"/>
    </xf>
    <xf numFmtId="0" fontId="8" fillId="0" borderId="12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left"/>
      <protection locked="0"/>
    </xf>
    <xf numFmtId="0" fontId="8" fillId="0" borderId="32" xfId="0" applyFont="1" applyBorder="1" applyAlignment="1" applyProtection="1">
      <protection locked="0"/>
    </xf>
    <xf numFmtId="0" fontId="8" fillId="0" borderId="29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0" fontId="8" fillId="0" borderId="30" xfId="0" applyFont="1" applyBorder="1" applyAlignment="1" applyProtection="1">
      <alignment horizontal="center"/>
      <protection locked="0"/>
    </xf>
    <xf numFmtId="22" fontId="0" fillId="0" borderId="13" xfId="0" applyNumberFormat="1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" fontId="0" fillId="0" borderId="5" xfId="0" applyNumberFormat="1" applyBorder="1" applyProtection="1"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right"/>
      <protection locked="0"/>
    </xf>
    <xf numFmtId="0" fontId="0" fillId="0" borderId="6" xfId="0" applyBorder="1" applyProtection="1">
      <protection locked="0"/>
    </xf>
    <xf numFmtId="22" fontId="0" fillId="0" borderId="4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31" xfId="0" applyBorder="1" applyAlignment="1" applyProtection="1">
      <alignment horizontal="left"/>
      <protection locked="0"/>
    </xf>
    <xf numFmtId="0" fontId="0" fillId="0" borderId="34" xfId="0" applyBorder="1" applyAlignment="1" applyProtection="1">
      <alignment horizontal="left"/>
      <protection locked="0"/>
    </xf>
    <xf numFmtId="0" fontId="0" fillId="0" borderId="3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1" fontId="0" fillId="0" borderId="36" xfId="0" applyNumberFormat="1" applyBorder="1" applyProtection="1">
      <protection locked="0"/>
    </xf>
    <xf numFmtId="1" fontId="0" fillId="0" borderId="36" xfId="0" applyNumberFormat="1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20" xfId="0" applyBorder="1" applyAlignment="1">
      <alignment horizontal="left"/>
    </xf>
    <xf numFmtId="0" fontId="0" fillId="0" borderId="0" xfId="0" applyAlignment="1">
      <alignment horizontal="left"/>
    </xf>
    <xf numFmtId="0" fontId="1" fillId="0" borderId="21" xfId="0" applyFont="1" applyBorder="1" applyAlignment="1" applyProtection="1">
      <alignment horizontal="left"/>
    </xf>
    <xf numFmtId="0" fontId="1" fillId="0" borderId="22" xfId="0" applyFont="1" applyBorder="1" applyAlignment="1" applyProtection="1">
      <alignment horizontal="left"/>
    </xf>
    <xf numFmtId="0" fontId="1" fillId="0" borderId="23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24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left"/>
    </xf>
    <xf numFmtId="22" fontId="0" fillId="0" borderId="10" xfId="0" applyNumberFormat="1" applyBorder="1" applyAlignment="1" applyProtection="1">
      <alignment horizontal="left"/>
      <protection locked="0"/>
    </xf>
    <xf numFmtId="22" fontId="0" fillId="0" borderId="11" xfId="0" applyNumberFormat="1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/>
      <protection locked="0"/>
    </xf>
    <xf numFmtId="0" fontId="1" fillId="0" borderId="25" xfId="0" applyFont="1" applyBorder="1" applyAlignment="1" applyProtection="1">
      <alignment horizontal="left"/>
    </xf>
    <xf numFmtId="0" fontId="1" fillId="0" borderId="26" xfId="0" applyFont="1" applyBorder="1" applyAlignment="1" applyProtection="1">
      <alignment horizontal="left"/>
    </xf>
    <xf numFmtId="22" fontId="0" fillId="0" borderId="16" xfId="0" applyNumberFormat="1" applyBorder="1" applyAlignment="1" applyProtection="1">
      <alignment horizontal="left"/>
      <protection locked="0"/>
    </xf>
    <xf numFmtId="22" fontId="0" fillId="0" borderId="17" xfId="0" applyNumberFormat="1" applyBorder="1" applyAlignment="1" applyProtection="1">
      <alignment horizontal="left"/>
      <protection locked="0"/>
    </xf>
    <xf numFmtId="0" fontId="3" fillId="2" borderId="7" xfId="0" applyFont="1" applyFill="1" applyBorder="1" applyAlignment="1">
      <alignment horizontal="center" wrapText="1"/>
    </xf>
    <xf numFmtId="0" fontId="3" fillId="2" borderId="8" xfId="0" applyFont="1" applyFill="1" applyBorder="1" applyAlignment="1">
      <alignment horizontal="center" wrapText="1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37" xfId="0" applyFont="1" applyFill="1" applyBorder="1" applyAlignment="1">
      <alignment horizontal="center" wrapText="1"/>
    </xf>
    <xf numFmtId="0" fontId="1" fillId="3" borderId="27" xfId="0" applyFont="1" applyFill="1" applyBorder="1" applyAlignment="1">
      <alignment horizontal="center" wrapText="1"/>
    </xf>
    <xf numFmtId="0" fontId="0" fillId="0" borderId="34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</cellXfs>
  <cellStyles count="1">
    <cellStyle name="Normal" xfId="0" builtinId="0"/>
  </cellStyles>
  <dxfs count="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Roster" displayName="Roster" ref="A2:G43" totalsRowShown="0" headerRowDxfId="3">
  <autoFilter ref="A2:G43"/>
  <tableColumns count="7">
    <tableColumn id="1" name="Call"/>
    <tableColumn id="2" name="Name"/>
    <tableColumn id="7" name="Name2"/>
    <tableColumn id="3" name="Active" dataDxfId="2"/>
    <tableColumn id="4" name="Year Liscensed" dataDxfId="1"/>
    <tableColumn id="5" name="Year Joined" dataDxfId="0"/>
    <tableColumn id="6" name="Grid Squa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21"/>
  <sheetViews>
    <sheetView showGridLines="0" tabSelected="1" workbookViewId="0">
      <selection activeCell="N13" sqref="N13:O13"/>
    </sheetView>
  </sheetViews>
  <sheetFormatPr defaultColWidth="11.5703125" defaultRowHeight="12.75" x14ac:dyDescent="0.2"/>
  <cols>
    <col min="1" max="1" width="1.42578125" customWidth="1"/>
    <col min="2" max="2" width="14.5703125" style="3" customWidth="1"/>
    <col min="3" max="3" width="2" style="3" customWidth="1"/>
    <col min="4" max="4" width="10" style="3" customWidth="1"/>
    <col min="5" max="6" width="10.28515625" style="2" customWidth="1"/>
    <col min="7" max="8" width="8.7109375" style="2" customWidth="1"/>
    <col min="9" max="10" width="14" customWidth="1"/>
    <col min="11" max="11" width="9" customWidth="1"/>
    <col min="12" max="12" width="9" style="2" customWidth="1"/>
    <col min="13" max="13" width="8.7109375" style="2" customWidth="1"/>
    <col min="14" max="14" width="10.42578125" style="15" customWidth="1"/>
    <col min="15" max="15" width="11.5703125" style="11"/>
    <col min="16" max="16" width="17.5703125" customWidth="1"/>
    <col min="17" max="17" width="0" hidden="1" customWidth="1"/>
    <col min="18" max="18" width="10" customWidth="1"/>
    <col min="19" max="19" width="4.5703125" customWidth="1"/>
    <col min="20" max="20" width="3" customWidth="1"/>
    <col min="22" max="22" width="4.42578125" customWidth="1"/>
    <col min="23" max="23" width="3" customWidth="1"/>
    <col min="25" max="25" width="4" customWidth="1"/>
  </cols>
  <sheetData>
    <row r="1" spans="1:16" ht="32.25" customHeight="1" x14ac:dyDescent="0.6">
      <c r="A1" s="59" t="s">
        <v>51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</row>
    <row r="2" spans="1:16" ht="21.75" customHeight="1" x14ac:dyDescent="0.25">
      <c r="A2" s="60" t="s">
        <v>52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ht="13.5" thickBot="1" x14ac:dyDescent="0.25"/>
    <row r="4" spans="1:16" ht="13.5" thickBot="1" x14ac:dyDescent="0.25">
      <c r="B4" s="63" t="s">
        <v>11</v>
      </c>
      <c r="C4" s="64"/>
      <c r="D4" s="25"/>
      <c r="K4" s="6" t="s">
        <v>4</v>
      </c>
      <c r="L4" s="84" t="s">
        <v>6</v>
      </c>
      <c r="N4" s="6" t="s">
        <v>78</v>
      </c>
      <c r="O4" s="8" t="s">
        <v>7</v>
      </c>
    </row>
    <row r="5" spans="1:16" ht="13.5" thickTop="1" x14ac:dyDescent="0.2">
      <c r="B5" s="65" t="s">
        <v>10</v>
      </c>
      <c r="C5" s="66"/>
      <c r="D5" s="26"/>
      <c r="E5"/>
      <c r="K5" s="28" t="s">
        <v>17</v>
      </c>
      <c r="L5" s="29">
        <v>3</v>
      </c>
      <c r="N5" s="28" t="s">
        <v>27</v>
      </c>
      <c r="O5" s="29">
        <v>1</v>
      </c>
    </row>
    <row r="6" spans="1:16" x14ac:dyDescent="0.2">
      <c r="B6" s="67" t="s">
        <v>9</v>
      </c>
      <c r="C6" s="68"/>
      <c r="D6" s="26"/>
      <c r="E6" s="3"/>
      <c r="K6" s="30" t="s">
        <v>18</v>
      </c>
      <c r="L6" s="31">
        <v>5</v>
      </c>
      <c r="N6" s="30" t="s">
        <v>28</v>
      </c>
      <c r="O6" s="31">
        <v>2</v>
      </c>
    </row>
    <row r="7" spans="1:16" ht="13.5" thickBot="1" x14ac:dyDescent="0.25">
      <c r="B7" s="67" t="s">
        <v>12</v>
      </c>
      <c r="C7" s="68"/>
      <c r="D7" s="26"/>
      <c r="E7" s="61" t="s">
        <v>30</v>
      </c>
      <c r="F7" s="62"/>
      <c r="G7" s="62"/>
      <c r="H7" s="62"/>
      <c r="K7" s="30" t="s">
        <v>19</v>
      </c>
      <c r="L7" s="31">
        <v>3</v>
      </c>
      <c r="N7" s="32" t="s">
        <v>29</v>
      </c>
      <c r="O7" s="33">
        <v>3</v>
      </c>
    </row>
    <row r="8" spans="1:16" ht="13.5" thickBot="1" x14ac:dyDescent="0.25">
      <c r="B8" s="73" t="s">
        <v>14</v>
      </c>
      <c r="C8" s="74"/>
      <c r="D8" s="27"/>
      <c r="E8" s="61" t="s">
        <v>31</v>
      </c>
      <c r="F8" s="62"/>
      <c r="K8" s="32" t="s">
        <v>20</v>
      </c>
      <c r="L8" s="33">
        <v>3</v>
      </c>
    </row>
    <row r="9" spans="1:16" x14ac:dyDescent="0.2">
      <c r="B9" s="9"/>
      <c r="C9" s="9"/>
      <c r="D9" s="2"/>
      <c r="E9" s="3"/>
      <c r="F9" s="3"/>
    </row>
    <row r="10" spans="1:16" x14ac:dyDescent="0.2">
      <c r="B10" s="9"/>
      <c r="C10" s="9"/>
      <c r="D10" s="2"/>
      <c r="E10" s="3"/>
      <c r="F10" s="3"/>
      <c r="K10" s="2"/>
      <c r="L10"/>
      <c r="M10" s="11"/>
      <c r="N10" s="11"/>
      <c r="O10"/>
    </row>
    <row r="11" spans="1:16" ht="13.5" thickBot="1" x14ac:dyDescent="0.25">
      <c r="B11" s="9"/>
      <c r="C11" s="9"/>
      <c r="D11" s="2"/>
      <c r="E11" s="3"/>
      <c r="F11" s="3"/>
      <c r="K11" s="2"/>
      <c r="L11"/>
      <c r="M11" s="11"/>
      <c r="N11" s="11"/>
      <c r="O11"/>
    </row>
    <row r="12" spans="1:16" ht="31.5" customHeight="1" thickBot="1" x14ac:dyDescent="0.3">
      <c r="B12" s="77" t="s">
        <v>1</v>
      </c>
      <c r="C12" s="78"/>
      <c r="D12" s="10" t="s">
        <v>32</v>
      </c>
      <c r="E12" s="12" t="s">
        <v>35</v>
      </c>
      <c r="F12" s="12" t="s">
        <v>36</v>
      </c>
      <c r="G12" s="18" t="s">
        <v>3</v>
      </c>
      <c r="H12" s="17" t="s">
        <v>4</v>
      </c>
      <c r="I12" s="19" t="s">
        <v>38</v>
      </c>
      <c r="J12" s="20" t="s">
        <v>37</v>
      </c>
      <c r="K12" s="2"/>
      <c r="N12" s="85" t="s">
        <v>76</v>
      </c>
      <c r="O12" s="86"/>
    </row>
    <row r="13" spans="1:16" ht="30.75" customHeight="1" thickTop="1" thickBot="1" x14ac:dyDescent="0.35">
      <c r="B13" s="79"/>
      <c r="C13" s="80"/>
      <c r="D13" s="34"/>
      <c r="E13" s="35"/>
      <c r="F13" s="36"/>
      <c r="G13" s="37"/>
      <c r="H13" s="38"/>
      <c r="I13" s="37"/>
      <c r="J13" s="39"/>
      <c r="N13" s="87">
        <f>SUM(O20:O121)</f>
        <v>0</v>
      </c>
      <c r="O13" s="88"/>
    </row>
    <row r="14" spans="1:16" x14ac:dyDescent="0.2">
      <c r="B14" s="9"/>
      <c r="C14" s="9"/>
      <c r="D14" s="2"/>
      <c r="E14" s="3"/>
      <c r="F14" s="3"/>
      <c r="L14" s="11"/>
      <c r="M14"/>
      <c r="N14"/>
    </row>
    <row r="15" spans="1:16" x14ac:dyDescent="0.2">
      <c r="C15" s="9"/>
      <c r="D15" s="2"/>
      <c r="E15" s="3"/>
      <c r="F15" s="3"/>
    </row>
    <row r="16" spans="1:16" x14ac:dyDescent="0.2">
      <c r="C16" s="9"/>
      <c r="D16" s="2"/>
      <c r="E16" s="3"/>
      <c r="F16" s="3"/>
    </row>
    <row r="17" spans="1:20" x14ac:dyDescent="0.2">
      <c r="Q17" s="2"/>
    </row>
    <row r="18" spans="1:20" ht="13.5" thickBot="1" x14ac:dyDescent="0.25">
      <c r="Q18" s="2"/>
    </row>
    <row r="19" spans="1:20" s="1" customFormat="1" ht="13.5" thickBot="1" x14ac:dyDescent="0.25">
      <c r="B19" s="6" t="s">
        <v>0</v>
      </c>
      <c r="C19" s="81" t="s">
        <v>1</v>
      </c>
      <c r="D19" s="82"/>
      <c r="E19" s="7" t="s">
        <v>15</v>
      </c>
      <c r="F19" s="7" t="s">
        <v>2</v>
      </c>
      <c r="G19" s="7" t="s">
        <v>3</v>
      </c>
      <c r="H19" s="7" t="s">
        <v>4</v>
      </c>
      <c r="I19" s="7" t="s">
        <v>5</v>
      </c>
      <c r="J19" s="7" t="s">
        <v>32</v>
      </c>
      <c r="K19" s="7" t="s">
        <v>33</v>
      </c>
      <c r="L19" s="7" t="s">
        <v>34</v>
      </c>
      <c r="M19" s="7" t="s">
        <v>6</v>
      </c>
      <c r="N19" s="7" t="s">
        <v>7</v>
      </c>
      <c r="O19" s="7" t="s">
        <v>8</v>
      </c>
      <c r="P19" s="8" t="s">
        <v>39</v>
      </c>
      <c r="Q19" s="2"/>
      <c r="R19"/>
      <c r="S19"/>
      <c r="T19"/>
    </row>
    <row r="20" spans="1:20" ht="13.5" thickTop="1" x14ac:dyDescent="0.2">
      <c r="A20" s="13"/>
      <c r="B20" s="40"/>
      <c r="C20" s="75"/>
      <c r="D20" s="76"/>
      <c r="E20" s="41" t="str">
        <f>IF($C20="","",VLOOKUP($C20,Roster[],4,0))</f>
        <v/>
      </c>
      <c r="F20" s="41"/>
      <c r="G20" s="41"/>
      <c r="H20" s="41"/>
      <c r="I20" s="42" t="str">
        <f>IF($C20="","",VLOOKUP($C20,Roster[],7,0))</f>
        <v/>
      </c>
      <c r="J20" s="42" t="str">
        <f>IF($C20="","",VLOOKUP($C20,Roster[],2,0))</f>
        <v/>
      </c>
      <c r="K20" s="43" t="str">
        <f>IF($C20="","",VLOOKUP($C20,Roster[],5,0))</f>
        <v/>
      </c>
      <c r="L20" s="44" t="str">
        <f>IF($C20="","",VLOOKUP($C20,Roster[],6,0))</f>
        <v/>
      </c>
      <c r="M20" s="41" t="str">
        <f>IFERROR(IF((H20)="","",VLOOKUP(H20,Mode!$A$2:$B$5,2,FALSE)),"")</f>
        <v/>
      </c>
      <c r="N20" s="41"/>
      <c r="O20" s="45"/>
      <c r="P20" s="46"/>
    </row>
    <row r="21" spans="1:20" x14ac:dyDescent="0.2">
      <c r="A21" s="13">
        <v>43612.870451388888</v>
      </c>
      <c r="B21" s="47"/>
      <c r="C21" s="69"/>
      <c r="D21" s="70"/>
      <c r="E21" s="41" t="str">
        <f>IF($C21="","",VLOOKUP($C21,Roster[],4,0))</f>
        <v/>
      </c>
      <c r="F21" s="41"/>
      <c r="G21" s="41"/>
      <c r="H21" s="41"/>
      <c r="I21" s="42" t="str">
        <f>IF($C21="","",VLOOKUP($C21,Roster[],7,0))</f>
        <v/>
      </c>
      <c r="J21" s="42" t="str">
        <f>IF($C21="","",VLOOKUP($C21,Roster[],2,0))</f>
        <v/>
      </c>
      <c r="K21" s="43" t="str">
        <f>IF($C21="","",VLOOKUP($C21,Roster[],5,0))</f>
        <v/>
      </c>
      <c r="L21" s="44" t="str">
        <f>IF($C21="","",VLOOKUP($C21,Roster[],6,0))</f>
        <v/>
      </c>
      <c r="M21" s="41" t="str">
        <f>IFERROR(IF((H21)="","",VLOOKUP(H21,Mode!$A$2:$B$5,2,FALSE)),"")</f>
        <v/>
      </c>
      <c r="N21" s="41"/>
      <c r="O21" s="45"/>
      <c r="P21" s="46"/>
    </row>
    <row r="22" spans="1:20" x14ac:dyDescent="0.2">
      <c r="B22" s="48"/>
      <c r="C22" s="71"/>
      <c r="D22" s="72"/>
      <c r="E22" s="41" t="str">
        <f>IF($C22="","",VLOOKUP($C22,Roster[],4,0))</f>
        <v/>
      </c>
      <c r="F22" s="41"/>
      <c r="G22" s="41"/>
      <c r="H22" s="41"/>
      <c r="I22" s="42" t="str">
        <f>IF($C22="","",VLOOKUP($C22,Roster[],7,0))</f>
        <v/>
      </c>
      <c r="J22" s="42" t="str">
        <f>IF($C22="","",VLOOKUP($C22,Roster[],2,0))</f>
        <v/>
      </c>
      <c r="K22" s="43" t="str">
        <f>IF($C22="","",VLOOKUP($C22,Roster[],5,0))</f>
        <v/>
      </c>
      <c r="L22" s="44" t="str">
        <f>IF($C22="","",VLOOKUP($C22,Roster[],6,0))</f>
        <v/>
      </c>
      <c r="M22" s="41" t="str">
        <f>IFERROR(IF((H22)="","",VLOOKUP(H22,Mode!$A$2:$B$5,2,FALSE)),"")</f>
        <v/>
      </c>
      <c r="N22" s="41"/>
      <c r="O22" s="45"/>
      <c r="P22" s="46"/>
    </row>
    <row r="23" spans="1:20" x14ac:dyDescent="0.2">
      <c r="B23" s="48"/>
      <c r="C23" s="71"/>
      <c r="D23" s="72"/>
      <c r="E23" s="41" t="str">
        <f>IF($C23="","",VLOOKUP($C23,Roster[],4,0))</f>
        <v/>
      </c>
      <c r="F23" s="41"/>
      <c r="G23" s="41"/>
      <c r="H23" s="41"/>
      <c r="I23" s="42" t="str">
        <f>IF($C23="","",VLOOKUP($C23,Roster[],7,0))</f>
        <v/>
      </c>
      <c r="J23" s="42" t="str">
        <f>IF($C23="","",VLOOKUP($C23,Roster[],2,0))</f>
        <v/>
      </c>
      <c r="K23" s="43" t="str">
        <f>IF($C23="","",VLOOKUP($C23,Roster[],5,0))</f>
        <v/>
      </c>
      <c r="L23" s="44" t="str">
        <f>IF($C23="","",VLOOKUP($C23,Roster[],6,0))</f>
        <v/>
      </c>
      <c r="M23" s="41" t="str">
        <f>IFERROR(IF((H23)="","",VLOOKUP(H23,Mode!$A$2:$B$5,2,FALSE)),"")</f>
        <v/>
      </c>
      <c r="N23" s="41"/>
      <c r="O23" s="45"/>
      <c r="P23" s="46"/>
    </row>
    <row r="24" spans="1:20" x14ac:dyDescent="0.2">
      <c r="B24" s="48"/>
      <c r="C24" s="71"/>
      <c r="D24" s="72"/>
      <c r="E24" s="41" t="str">
        <f>IF($C24="","",VLOOKUP($C24,Roster[],4,0))</f>
        <v/>
      </c>
      <c r="F24" s="41"/>
      <c r="G24" s="41"/>
      <c r="H24" s="41"/>
      <c r="I24" s="42" t="str">
        <f>IF($C24="","",VLOOKUP($C24,Roster[],7,0))</f>
        <v/>
      </c>
      <c r="J24" s="42" t="str">
        <f>IF($C24="","",VLOOKUP($C24,Roster[],2,0))</f>
        <v/>
      </c>
      <c r="K24" s="43" t="str">
        <f>IF($C24="","",VLOOKUP($C24,Roster[],5,0))</f>
        <v/>
      </c>
      <c r="L24" s="44" t="str">
        <f>IF($C24="","",VLOOKUP($C24,Roster[],6,0))</f>
        <v/>
      </c>
      <c r="M24" s="41" t="str">
        <f>IFERROR(IF((H24)="","",VLOOKUP(H24,Mode!$A$2:$B$5,2,FALSE)),"")</f>
        <v/>
      </c>
      <c r="N24" s="41"/>
      <c r="O24" s="45"/>
      <c r="P24" s="46"/>
    </row>
    <row r="25" spans="1:20" x14ac:dyDescent="0.2">
      <c r="B25" s="48"/>
      <c r="C25" s="71"/>
      <c r="D25" s="72"/>
      <c r="E25" s="41" t="str">
        <f>IF($C25="","",VLOOKUP($C25,Roster[],4,0))</f>
        <v/>
      </c>
      <c r="F25" s="41"/>
      <c r="G25" s="41"/>
      <c r="H25" s="41"/>
      <c r="I25" s="42" t="str">
        <f>IF($C25="","",VLOOKUP($C25,Roster[],7,0))</f>
        <v/>
      </c>
      <c r="J25" s="42" t="str">
        <f>IF($C25="","",VLOOKUP($C25,Roster[],2,0))</f>
        <v/>
      </c>
      <c r="K25" s="43" t="str">
        <f>IF($C25="","",VLOOKUP($C25,Roster[],5,0))</f>
        <v/>
      </c>
      <c r="L25" s="44" t="str">
        <f>IF($C25="","",VLOOKUP($C25,Roster[],6,0))</f>
        <v/>
      </c>
      <c r="M25" s="41" t="str">
        <f>IFERROR(IF((H25)="","",VLOOKUP(H25,Mode!$A$2:$B$5,2,FALSE)),"")</f>
        <v/>
      </c>
      <c r="N25" s="41"/>
      <c r="O25" s="45"/>
      <c r="P25" s="46"/>
    </row>
    <row r="26" spans="1:20" x14ac:dyDescent="0.2">
      <c r="B26" s="48"/>
      <c r="C26" s="71"/>
      <c r="D26" s="72"/>
      <c r="E26" s="41" t="str">
        <f>IF($C26="","",VLOOKUP($C26,Roster[],4,0))</f>
        <v/>
      </c>
      <c r="F26" s="41"/>
      <c r="G26" s="41"/>
      <c r="H26" s="41"/>
      <c r="I26" s="42" t="str">
        <f>IF($C26="","",VLOOKUP($C26,Roster[],7,0))</f>
        <v/>
      </c>
      <c r="J26" s="42" t="str">
        <f>IF($C26="","",VLOOKUP($C26,Roster[],2,0))</f>
        <v/>
      </c>
      <c r="K26" s="43" t="str">
        <f>IF($C26="","",VLOOKUP($C26,Roster[],5,0))</f>
        <v/>
      </c>
      <c r="L26" s="44" t="str">
        <f>IF($C26="","",VLOOKUP($C26,Roster[],6,0))</f>
        <v/>
      </c>
      <c r="M26" s="41" t="str">
        <f>IFERROR(IF((H26)="","",VLOOKUP(H26,Mode!$A$2:$B$5,2,FALSE)),"")</f>
        <v/>
      </c>
      <c r="N26" s="41"/>
      <c r="O26" s="45"/>
      <c r="P26" s="46"/>
    </row>
    <row r="27" spans="1:20" x14ac:dyDescent="0.2">
      <c r="B27" s="48"/>
      <c r="C27" s="71"/>
      <c r="D27" s="72"/>
      <c r="E27" s="41" t="str">
        <f>IF($C27="","",VLOOKUP($C27,Roster[],4,0))</f>
        <v/>
      </c>
      <c r="F27" s="41"/>
      <c r="G27" s="41"/>
      <c r="H27" s="41"/>
      <c r="I27" s="42" t="str">
        <f>IF($C27="","",VLOOKUP($C27,Roster[],7,0))</f>
        <v/>
      </c>
      <c r="J27" s="42" t="str">
        <f>IF($C27="","",VLOOKUP($C27,Roster[],2,0))</f>
        <v/>
      </c>
      <c r="K27" s="43" t="str">
        <f>IF($C27="","",VLOOKUP($C27,Roster[],5,0))</f>
        <v/>
      </c>
      <c r="L27" s="44" t="str">
        <f>IF($C27="","",VLOOKUP($C27,Roster[],6,0))</f>
        <v/>
      </c>
      <c r="M27" s="41" t="str">
        <f>IFERROR(IF((H27)="","",VLOOKUP(H27,Mode!$A$2:$B$5,2,FALSE)),"")</f>
        <v/>
      </c>
      <c r="N27" s="41"/>
      <c r="O27" s="45"/>
      <c r="P27" s="46"/>
    </row>
    <row r="28" spans="1:20" x14ac:dyDescent="0.2">
      <c r="B28" s="48"/>
      <c r="C28" s="71"/>
      <c r="D28" s="72"/>
      <c r="E28" s="41" t="str">
        <f>IF($C28="","",VLOOKUP($C28,Roster[],4,0))</f>
        <v/>
      </c>
      <c r="F28" s="41"/>
      <c r="G28" s="41"/>
      <c r="H28" s="41"/>
      <c r="I28" s="42" t="str">
        <f>IF($C28="","",VLOOKUP($C28,Roster[],7,0))</f>
        <v/>
      </c>
      <c r="J28" s="42" t="str">
        <f>IF($C28="","",VLOOKUP($C28,Roster[],2,0))</f>
        <v/>
      </c>
      <c r="K28" s="43" t="str">
        <f>IF($C28="","",VLOOKUP($C28,Roster[],5,0))</f>
        <v/>
      </c>
      <c r="L28" s="44" t="str">
        <f>IF($C28="","",VLOOKUP($C28,Roster[],6,0))</f>
        <v/>
      </c>
      <c r="M28" s="41" t="str">
        <f>IFERROR(IF((H28)="","",VLOOKUP(H28,Mode!$A$2:$B$5,2,FALSE)),"")</f>
        <v/>
      </c>
      <c r="N28" s="41"/>
      <c r="O28" s="45"/>
      <c r="P28" s="46"/>
    </row>
    <row r="29" spans="1:20" x14ac:dyDescent="0.2">
      <c r="B29" s="48"/>
      <c r="C29" s="71"/>
      <c r="D29" s="72"/>
      <c r="E29" s="41" t="str">
        <f>IF($C29="","",VLOOKUP($C29,Roster[],4,0))</f>
        <v/>
      </c>
      <c r="F29" s="41"/>
      <c r="G29" s="41"/>
      <c r="H29" s="41"/>
      <c r="I29" s="42" t="str">
        <f>IF($C29="","",VLOOKUP($C29,Roster[],7,0))</f>
        <v/>
      </c>
      <c r="J29" s="42" t="str">
        <f>IF($C29="","",VLOOKUP($C29,Roster[],2,0))</f>
        <v/>
      </c>
      <c r="K29" s="43" t="str">
        <f>IF($C29="","",VLOOKUP($C29,Roster[],5,0))</f>
        <v/>
      </c>
      <c r="L29" s="44" t="str">
        <f>IF($C29="","",VLOOKUP($C29,Roster[],6,0))</f>
        <v/>
      </c>
      <c r="M29" s="41" t="str">
        <f>IFERROR(IF((H29)="","",VLOOKUP(H29,Mode!$A$2:$B$5,2,FALSE)),"")</f>
        <v/>
      </c>
      <c r="N29" s="41"/>
      <c r="O29" s="45"/>
      <c r="P29" s="46"/>
    </row>
    <row r="30" spans="1:20" x14ac:dyDescent="0.2">
      <c r="B30" s="48"/>
      <c r="C30" s="71"/>
      <c r="D30" s="72"/>
      <c r="E30" s="41" t="str">
        <f>IF($C30="","",VLOOKUP($C30,Roster[],4,0))</f>
        <v/>
      </c>
      <c r="F30" s="41"/>
      <c r="G30" s="41"/>
      <c r="H30" s="41"/>
      <c r="I30" s="42" t="str">
        <f>IF($C30="","",VLOOKUP($C30,Roster[],7,0))</f>
        <v/>
      </c>
      <c r="J30" s="42" t="str">
        <f>IF($C30="","",VLOOKUP($C30,Roster[],2,0))</f>
        <v/>
      </c>
      <c r="K30" s="43" t="str">
        <f>IF($C30="","",VLOOKUP($C30,Roster[],5,0))</f>
        <v/>
      </c>
      <c r="L30" s="44" t="str">
        <f>IF($C30="","",VLOOKUP($C30,Roster[],6,0))</f>
        <v/>
      </c>
      <c r="M30" s="41" t="str">
        <f>IFERROR(IF((H30)="","",VLOOKUP(H30,Mode!$A$2:$B$5,2,FALSE)),"")</f>
        <v/>
      </c>
      <c r="N30" s="41"/>
      <c r="O30" s="45"/>
      <c r="P30" s="46"/>
    </row>
    <row r="31" spans="1:20" x14ac:dyDescent="0.2">
      <c r="B31" s="48"/>
      <c r="C31" s="71"/>
      <c r="D31" s="72"/>
      <c r="E31" s="41" t="str">
        <f>IF($C31="","",VLOOKUP($C31,Roster[],4,0))</f>
        <v/>
      </c>
      <c r="F31" s="41"/>
      <c r="G31" s="41"/>
      <c r="H31" s="41"/>
      <c r="I31" s="42" t="str">
        <f>IF($C31="","",VLOOKUP($C31,Roster[],7,0))</f>
        <v/>
      </c>
      <c r="J31" s="42" t="str">
        <f>IF($C31="","",VLOOKUP($C31,Roster[],2,0))</f>
        <v/>
      </c>
      <c r="K31" s="43" t="str">
        <f>IF($C31="","",VLOOKUP($C31,Roster[],5,0))</f>
        <v/>
      </c>
      <c r="L31" s="44" t="str">
        <f>IF($C31="","",VLOOKUP($C31,Roster[],6,0))</f>
        <v/>
      </c>
      <c r="M31" s="41" t="str">
        <f>IFERROR(IF((H31)="","",VLOOKUP(H31,Mode!$A$2:$B$5,2,FALSE)),"")</f>
        <v/>
      </c>
      <c r="N31" s="41"/>
      <c r="O31" s="45"/>
      <c r="P31" s="46"/>
    </row>
    <row r="32" spans="1:20" x14ac:dyDescent="0.2">
      <c r="B32" s="48"/>
      <c r="C32" s="71"/>
      <c r="D32" s="72"/>
      <c r="E32" s="41" t="str">
        <f>IF($C32="","",VLOOKUP($C32,Roster[],4,0))</f>
        <v/>
      </c>
      <c r="F32" s="41"/>
      <c r="G32" s="41"/>
      <c r="H32" s="41"/>
      <c r="I32" s="42" t="str">
        <f>IF($C32="","",VLOOKUP($C32,Roster[],7,0))</f>
        <v/>
      </c>
      <c r="J32" s="42" t="str">
        <f>IF($C32="","",VLOOKUP($C32,Roster[],2,0))</f>
        <v/>
      </c>
      <c r="K32" s="43" t="str">
        <f>IF($C32="","",VLOOKUP($C32,Roster[],5,0))</f>
        <v/>
      </c>
      <c r="L32" s="44" t="str">
        <f>IF($C32="","",VLOOKUP($C32,Roster[],6,0))</f>
        <v/>
      </c>
      <c r="M32" s="41" t="str">
        <f>IFERROR(IF((H32)="","",VLOOKUP(H32,Mode!$A$2:$B$5,2,FALSE)),"")</f>
        <v/>
      </c>
      <c r="N32" s="41"/>
      <c r="O32" s="45"/>
      <c r="P32" s="46"/>
    </row>
    <row r="33" spans="2:16" x14ac:dyDescent="0.2">
      <c r="B33" s="48"/>
      <c r="C33" s="71"/>
      <c r="D33" s="72"/>
      <c r="E33" s="41" t="str">
        <f>IF($C33="","",VLOOKUP($C33,Roster[],4,0))</f>
        <v/>
      </c>
      <c r="F33" s="41"/>
      <c r="G33" s="41"/>
      <c r="H33" s="41"/>
      <c r="I33" s="42" t="str">
        <f>IF($C33="","",VLOOKUP($C33,Roster[],7,0))</f>
        <v/>
      </c>
      <c r="J33" s="42" t="str">
        <f>IF($C33="","",VLOOKUP($C33,Roster[],2,0))</f>
        <v/>
      </c>
      <c r="K33" s="43" t="str">
        <f>IF($C33="","",VLOOKUP($C33,Roster[],5,0))</f>
        <v/>
      </c>
      <c r="L33" s="44" t="str">
        <f>IF($C33="","",VLOOKUP($C33,Roster[],6,0))</f>
        <v/>
      </c>
      <c r="M33" s="41" t="str">
        <f>IFERROR(IF((H33)="","",VLOOKUP(H33,Mode!$A$2:$B$5,2,FALSE)),"")</f>
        <v/>
      </c>
      <c r="N33" s="41"/>
      <c r="O33" s="45"/>
      <c r="P33" s="46"/>
    </row>
    <row r="34" spans="2:16" x14ac:dyDescent="0.2">
      <c r="B34" s="48"/>
      <c r="C34" s="71"/>
      <c r="D34" s="72"/>
      <c r="E34" s="41" t="str">
        <f>IF($C34="","",VLOOKUP($C34,Roster[],4,0))</f>
        <v/>
      </c>
      <c r="F34" s="41"/>
      <c r="G34" s="41"/>
      <c r="H34" s="41"/>
      <c r="I34" s="42" t="str">
        <f>IF($C34="","",VLOOKUP($C34,Roster[],7,0))</f>
        <v/>
      </c>
      <c r="J34" s="42" t="str">
        <f>IF($C34="","",VLOOKUP($C34,Roster[],2,0))</f>
        <v/>
      </c>
      <c r="K34" s="43" t="str">
        <f>IF($C34="","",VLOOKUP($C34,Roster[],5,0))</f>
        <v/>
      </c>
      <c r="L34" s="44" t="str">
        <f>IF($C34="","",VLOOKUP($C34,Roster[],6,0))</f>
        <v/>
      </c>
      <c r="M34" s="41" t="str">
        <f>IFERROR(IF((H34)="","",VLOOKUP(H34,Mode!$A$2:$B$5,2,FALSE)),"")</f>
        <v/>
      </c>
      <c r="N34" s="41"/>
      <c r="O34" s="45"/>
      <c r="P34" s="46"/>
    </row>
    <row r="35" spans="2:16" x14ac:dyDescent="0.2">
      <c r="B35" s="48"/>
      <c r="C35" s="71"/>
      <c r="D35" s="72"/>
      <c r="E35" s="41" t="str">
        <f>IF($C35="","",VLOOKUP($C35,Roster[],4,0))</f>
        <v/>
      </c>
      <c r="F35" s="41"/>
      <c r="G35" s="41"/>
      <c r="H35" s="41"/>
      <c r="I35" s="42" t="str">
        <f>IF($C35="","",VLOOKUP($C35,Roster[],7,0))</f>
        <v/>
      </c>
      <c r="J35" s="42" t="str">
        <f>IF($C35="","",VLOOKUP($C35,Roster[],2,0))</f>
        <v/>
      </c>
      <c r="K35" s="43" t="str">
        <f>IF($C35="","",VLOOKUP($C35,Roster[],5,0))</f>
        <v/>
      </c>
      <c r="L35" s="44" t="str">
        <f>IF($C35="","",VLOOKUP($C35,Roster[],6,0))</f>
        <v/>
      </c>
      <c r="M35" s="41" t="str">
        <f>IFERROR(IF((H35)="","",VLOOKUP(H35,Mode!$A$2:$B$5,2,FALSE)),"")</f>
        <v/>
      </c>
      <c r="N35" s="41"/>
      <c r="O35" s="45"/>
      <c r="P35" s="46"/>
    </row>
    <row r="36" spans="2:16" x14ac:dyDescent="0.2">
      <c r="B36" s="48"/>
      <c r="C36" s="71"/>
      <c r="D36" s="72"/>
      <c r="E36" s="41" t="str">
        <f>IF($C36="","",VLOOKUP($C36,Roster[],4,0))</f>
        <v/>
      </c>
      <c r="F36" s="41"/>
      <c r="G36" s="41"/>
      <c r="H36" s="41"/>
      <c r="I36" s="42" t="str">
        <f>IF($C36="","",VLOOKUP($C36,Roster[],7,0))</f>
        <v/>
      </c>
      <c r="J36" s="42" t="str">
        <f>IF($C36="","",VLOOKUP($C36,Roster[],2,0))</f>
        <v/>
      </c>
      <c r="K36" s="43" t="str">
        <f>IF($C36="","",VLOOKUP($C36,Roster[],5,0))</f>
        <v/>
      </c>
      <c r="L36" s="44" t="str">
        <f>IF($C36="","",VLOOKUP($C36,Roster[],6,0))</f>
        <v/>
      </c>
      <c r="M36" s="41" t="str">
        <f>IFERROR(IF((H36)="","",VLOOKUP(H36,Mode!$A$2:$B$5,2,FALSE)),"")</f>
        <v/>
      </c>
      <c r="N36" s="41"/>
      <c r="O36" s="45"/>
      <c r="P36" s="46"/>
    </row>
    <row r="37" spans="2:16" x14ac:dyDescent="0.2">
      <c r="B37" s="48"/>
      <c r="C37" s="71"/>
      <c r="D37" s="72"/>
      <c r="E37" s="41" t="str">
        <f>IF($C37="","",VLOOKUP($C37,Roster[],4,0))</f>
        <v/>
      </c>
      <c r="F37" s="41"/>
      <c r="G37" s="41"/>
      <c r="H37" s="41"/>
      <c r="I37" s="42" t="str">
        <f>IF($C37="","",VLOOKUP($C37,Roster[],7,0))</f>
        <v/>
      </c>
      <c r="J37" s="42" t="str">
        <f>IF($C37="","",VLOOKUP($C37,Roster[],2,0))</f>
        <v/>
      </c>
      <c r="K37" s="43" t="str">
        <f>IF($C37="","",VLOOKUP($C37,Roster[],5,0))</f>
        <v/>
      </c>
      <c r="L37" s="44" t="str">
        <f>IF($C37="","",VLOOKUP($C37,Roster[],6,0))</f>
        <v/>
      </c>
      <c r="M37" s="41" t="str">
        <f>IFERROR(IF((H37)="","",VLOOKUP(H37,Mode!$A$2:$B$5,2,FALSE)),"")</f>
        <v/>
      </c>
      <c r="N37" s="41"/>
      <c r="O37" s="45"/>
      <c r="P37" s="46"/>
    </row>
    <row r="38" spans="2:16" x14ac:dyDescent="0.2">
      <c r="B38" s="48"/>
      <c r="C38" s="71"/>
      <c r="D38" s="72"/>
      <c r="E38" s="41" t="str">
        <f>IF($C38="","",VLOOKUP($C38,Roster[],4,0))</f>
        <v/>
      </c>
      <c r="F38" s="41"/>
      <c r="G38" s="41"/>
      <c r="H38" s="41"/>
      <c r="I38" s="42" t="str">
        <f>IF($C38="","",VLOOKUP($C38,Roster[],7,0))</f>
        <v/>
      </c>
      <c r="J38" s="42" t="str">
        <f>IF($C38="","",VLOOKUP($C38,Roster[],2,0))</f>
        <v/>
      </c>
      <c r="K38" s="43" t="str">
        <f>IF($C38="","",VLOOKUP($C38,Roster[],5,0))</f>
        <v/>
      </c>
      <c r="L38" s="44" t="str">
        <f>IF($C38="","",VLOOKUP($C38,Roster[],6,0))</f>
        <v/>
      </c>
      <c r="M38" s="41" t="str">
        <f>IFERROR(IF((H38)="","",VLOOKUP(H38,Mode!$A$2:$B$5,2,FALSE)),"")</f>
        <v/>
      </c>
      <c r="N38" s="41"/>
      <c r="O38" s="45"/>
      <c r="P38" s="46"/>
    </row>
    <row r="39" spans="2:16" x14ac:dyDescent="0.2">
      <c r="B39" s="48"/>
      <c r="C39" s="71"/>
      <c r="D39" s="72"/>
      <c r="E39" s="41" t="str">
        <f>IF($C39="","",VLOOKUP($C39,Roster[],4,0))</f>
        <v/>
      </c>
      <c r="F39" s="41"/>
      <c r="G39" s="41"/>
      <c r="H39" s="41"/>
      <c r="I39" s="42" t="str">
        <f>IF($C39="","",VLOOKUP($C39,Roster[],7,0))</f>
        <v/>
      </c>
      <c r="J39" s="42" t="str">
        <f>IF($C39="","",VLOOKUP($C39,Roster[],2,0))</f>
        <v/>
      </c>
      <c r="K39" s="43" t="str">
        <f>IF($C39="","",VLOOKUP($C39,Roster[],5,0))</f>
        <v/>
      </c>
      <c r="L39" s="44" t="str">
        <f>IF($C39="","",VLOOKUP($C39,Roster[],6,0))</f>
        <v/>
      </c>
      <c r="M39" s="41" t="str">
        <f>IFERROR(IF((H39)="","",VLOOKUP(H39,Mode!$A$2:$B$5,2,FALSE)),"")</f>
        <v/>
      </c>
      <c r="N39" s="41"/>
      <c r="O39" s="45"/>
      <c r="P39" s="46"/>
    </row>
    <row r="40" spans="2:16" x14ac:dyDescent="0.2">
      <c r="B40" s="48"/>
      <c r="C40" s="71"/>
      <c r="D40" s="72"/>
      <c r="E40" s="41" t="str">
        <f>IF($C40="","",VLOOKUP($C40,Roster[],4,0))</f>
        <v/>
      </c>
      <c r="F40" s="41"/>
      <c r="G40" s="41"/>
      <c r="H40" s="41"/>
      <c r="I40" s="42" t="str">
        <f>IF($C40="","",VLOOKUP($C40,Roster[],7,0))</f>
        <v/>
      </c>
      <c r="J40" s="42" t="str">
        <f>IF($C40="","",VLOOKUP($C40,Roster[],2,0))</f>
        <v/>
      </c>
      <c r="K40" s="43" t="str">
        <f>IF($C40="","",VLOOKUP($C40,Roster[],5,0))</f>
        <v/>
      </c>
      <c r="L40" s="44" t="str">
        <f>IF($C40="","",VLOOKUP($C40,Roster[],6,0))</f>
        <v/>
      </c>
      <c r="M40" s="41" t="str">
        <f>IFERROR(IF((H40)="","",VLOOKUP(H40,Mode!$A$2:$B$5,2,FALSE)),"")</f>
        <v/>
      </c>
      <c r="N40" s="41"/>
      <c r="O40" s="45"/>
      <c r="P40" s="46"/>
    </row>
    <row r="41" spans="2:16" x14ac:dyDescent="0.2">
      <c r="B41" s="48"/>
      <c r="C41" s="71"/>
      <c r="D41" s="72"/>
      <c r="E41" s="41" t="str">
        <f>IF($C41="","",VLOOKUP($C41,Roster[],4,0))</f>
        <v/>
      </c>
      <c r="F41" s="41"/>
      <c r="G41" s="41"/>
      <c r="H41" s="41"/>
      <c r="I41" s="42" t="str">
        <f>IF($C41="","",VLOOKUP($C41,Roster[],7,0))</f>
        <v/>
      </c>
      <c r="J41" s="42" t="str">
        <f>IF($C41="","",VLOOKUP($C41,Roster[],2,0))</f>
        <v/>
      </c>
      <c r="K41" s="43" t="str">
        <f>IF($C41="","",VLOOKUP($C41,Roster[],5,0))</f>
        <v/>
      </c>
      <c r="L41" s="44" t="str">
        <f>IF($C41="","",VLOOKUP($C41,Roster[],6,0))</f>
        <v/>
      </c>
      <c r="M41" s="41" t="str">
        <f>IFERROR(IF((H41)="","",VLOOKUP(H41,Mode!$A$2:$B$5,2,FALSE)),"")</f>
        <v/>
      </c>
      <c r="N41" s="41"/>
      <c r="O41" s="45"/>
      <c r="P41" s="46"/>
    </row>
    <row r="42" spans="2:16" x14ac:dyDescent="0.2">
      <c r="B42" s="48"/>
      <c r="C42" s="71"/>
      <c r="D42" s="72"/>
      <c r="E42" s="41" t="str">
        <f>IF($C42="","",VLOOKUP($C42,Roster[],4,0))</f>
        <v/>
      </c>
      <c r="F42" s="41"/>
      <c r="G42" s="41"/>
      <c r="H42" s="41"/>
      <c r="I42" s="42" t="str">
        <f>IF($C42="","",VLOOKUP($C42,Roster[],7,0))</f>
        <v/>
      </c>
      <c r="J42" s="42" t="str">
        <f>IF($C42="","",VLOOKUP($C42,Roster[],2,0))</f>
        <v/>
      </c>
      <c r="K42" s="43" t="str">
        <f>IF($C42="","",VLOOKUP($C42,Roster[],5,0))</f>
        <v/>
      </c>
      <c r="L42" s="44" t="str">
        <f>IF($C42="","",VLOOKUP($C42,Roster[],6,0))</f>
        <v/>
      </c>
      <c r="M42" s="41" t="str">
        <f>IFERROR(IF((H42)="","",VLOOKUP(H42,Mode!$A$2:$B$5,2,FALSE)),"")</f>
        <v/>
      </c>
      <c r="N42" s="41"/>
      <c r="O42" s="45"/>
      <c r="P42" s="46"/>
    </row>
    <row r="43" spans="2:16" x14ac:dyDescent="0.2">
      <c r="B43" s="48"/>
      <c r="C43" s="71"/>
      <c r="D43" s="72"/>
      <c r="E43" s="41" t="str">
        <f>IF($C43="","",VLOOKUP($C43,Roster[],4,0))</f>
        <v/>
      </c>
      <c r="F43" s="41"/>
      <c r="G43" s="41"/>
      <c r="H43" s="41"/>
      <c r="I43" s="42" t="str">
        <f>IF($C43="","",VLOOKUP($C43,Roster[],7,0))</f>
        <v/>
      </c>
      <c r="J43" s="42" t="str">
        <f>IF($C43="","",VLOOKUP($C43,Roster[],2,0))</f>
        <v/>
      </c>
      <c r="K43" s="43" t="str">
        <f>IF($C43="","",VLOOKUP($C43,Roster[],5,0))</f>
        <v/>
      </c>
      <c r="L43" s="44" t="str">
        <f>IF($C43="","",VLOOKUP($C43,Roster[],6,0))</f>
        <v/>
      </c>
      <c r="M43" s="41" t="str">
        <f>IFERROR(IF((H43)="","",VLOOKUP(H43,Mode!$A$2:$B$5,2,FALSE)),"")</f>
        <v/>
      </c>
      <c r="N43" s="41"/>
      <c r="O43" s="45"/>
      <c r="P43" s="46"/>
    </row>
    <row r="44" spans="2:16" x14ac:dyDescent="0.2">
      <c r="B44" s="48"/>
      <c r="C44" s="71"/>
      <c r="D44" s="72"/>
      <c r="E44" s="41" t="str">
        <f>IF($C44="","",VLOOKUP($C44,Roster[],4,0))</f>
        <v/>
      </c>
      <c r="F44" s="41"/>
      <c r="G44" s="41"/>
      <c r="H44" s="41"/>
      <c r="I44" s="42" t="str">
        <f>IF($C44="","",VLOOKUP($C44,Roster[],7,0))</f>
        <v/>
      </c>
      <c r="J44" s="42" t="str">
        <f>IF($C44="","",VLOOKUP($C44,Roster[],2,0))</f>
        <v/>
      </c>
      <c r="K44" s="43" t="str">
        <f>IF($C44="","",VLOOKUP($C44,Roster[],5,0))</f>
        <v/>
      </c>
      <c r="L44" s="44" t="str">
        <f>IF($C44="","",VLOOKUP($C44,Roster[],6,0))</f>
        <v/>
      </c>
      <c r="M44" s="41" t="str">
        <f>IFERROR(IF((H44)="","",VLOOKUP(H44,Mode!$A$2:$B$5,2,FALSE)),"")</f>
        <v/>
      </c>
      <c r="N44" s="41"/>
      <c r="O44" s="45"/>
      <c r="P44" s="46"/>
    </row>
    <row r="45" spans="2:16" x14ac:dyDescent="0.2">
      <c r="B45" s="48"/>
      <c r="C45" s="71"/>
      <c r="D45" s="72"/>
      <c r="E45" s="41" t="str">
        <f>IF($C45="","",VLOOKUP($C45,Roster[],4,0))</f>
        <v/>
      </c>
      <c r="F45" s="41"/>
      <c r="G45" s="41"/>
      <c r="H45" s="41"/>
      <c r="I45" s="42" t="str">
        <f>IF($C45="","",VLOOKUP($C45,Roster[],7,0))</f>
        <v/>
      </c>
      <c r="J45" s="42" t="str">
        <f>IF($C45="","",VLOOKUP($C45,Roster[],2,0))</f>
        <v/>
      </c>
      <c r="K45" s="43" t="str">
        <f>IF($C45="","",VLOOKUP($C45,Roster[],5,0))</f>
        <v/>
      </c>
      <c r="L45" s="44" t="str">
        <f>IF($C45="","",VLOOKUP($C45,Roster[],6,0))</f>
        <v/>
      </c>
      <c r="M45" s="41" t="str">
        <f>IFERROR(IF((H45)="","",VLOOKUP(H45,Mode!$A$2:$B$5,2,FALSE)),"")</f>
        <v/>
      </c>
      <c r="N45" s="41"/>
      <c r="O45" s="45"/>
      <c r="P45" s="46"/>
    </row>
    <row r="46" spans="2:16" x14ac:dyDescent="0.2">
      <c r="B46" s="48"/>
      <c r="C46" s="71"/>
      <c r="D46" s="72"/>
      <c r="E46" s="41" t="str">
        <f>IF($C46="","",VLOOKUP($C46,Roster[],4,0))</f>
        <v/>
      </c>
      <c r="F46" s="41"/>
      <c r="G46" s="41"/>
      <c r="H46" s="41"/>
      <c r="I46" s="42" t="str">
        <f>IF($C46="","",VLOOKUP($C46,Roster[],7,0))</f>
        <v/>
      </c>
      <c r="J46" s="42" t="str">
        <f>IF($C46="","",VLOOKUP($C46,Roster[],2,0))</f>
        <v/>
      </c>
      <c r="K46" s="43" t="str">
        <f>IF($C46="","",VLOOKUP($C46,Roster[],5,0))</f>
        <v/>
      </c>
      <c r="L46" s="44" t="str">
        <f>IF($C46="","",VLOOKUP($C46,Roster[],6,0))</f>
        <v/>
      </c>
      <c r="M46" s="41" t="str">
        <f>IFERROR(IF((H46)="","",VLOOKUP(H46,Mode!$A$2:$B$5,2,FALSE)),"")</f>
        <v/>
      </c>
      <c r="N46" s="41"/>
      <c r="O46" s="45"/>
      <c r="P46" s="46"/>
    </row>
    <row r="47" spans="2:16" x14ac:dyDescent="0.2">
      <c r="B47" s="48"/>
      <c r="C47" s="71"/>
      <c r="D47" s="72"/>
      <c r="E47" s="41" t="str">
        <f>IF($C47="","",VLOOKUP($C47,Roster[],4,0))</f>
        <v/>
      </c>
      <c r="F47" s="41"/>
      <c r="G47" s="41"/>
      <c r="H47" s="41"/>
      <c r="I47" s="42" t="str">
        <f>IF($C47="","",VLOOKUP($C47,Roster[],7,0))</f>
        <v/>
      </c>
      <c r="J47" s="42" t="str">
        <f>IF($C47="","",VLOOKUP($C47,Roster[],2,0))</f>
        <v/>
      </c>
      <c r="K47" s="43" t="str">
        <f>IF($C47="","",VLOOKUP($C47,Roster[],5,0))</f>
        <v/>
      </c>
      <c r="L47" s="44" t="str">
        <f>IF($C47="","",VLOOKUP($C47,Roster[],6,0))</f>
        <v/>
      </c>
      <c r="M47" s="41" t="str">
        <f>IFERROR(IF((H47)="","",VLOOKUP(H47,Mode!$A$2:$B$5,2,FALSE)),"")</f>
        <v/>
      </c>
      <c r="N47" s="41"/>
      <c r="O47" s="45"/>
      <c r="P47" s="46"/>
    </row>
    <row r="48" spans="2:16" x14ac:dyDescent="0.2">
      <c r="B48" s="49"/>
      <c r="C48" s="71"/>
      <c r="D48" s="72"/>
      <c r="E48" s="41" t="str">
        <f>IF($C48="","",VLOOKUP($C48,Roster[],4,0))</f>
        <v/>
      </c>
      <c r="F48" s="41"/>
      <c r="G48" s="41"/>
      <c r="H48" s="41"/>
      <c r="I48" s="42" t="str">
        <f>IF($C48="","",VLOOKUP($C48,Roster[],7,0))</f>
        <v/>
      </c>
      <c r="J48" s="42" t="str">
        <f>IF($C48="","",VLOOKUP($C48,Roster[],2,0))</f>
        <v/>
      </c>
      <c r="K48" s="43" t="str">
        <f>IF($C48="","",VLOOKUP($C48,Roster[],5,0))</f>
        <v/>
      </c>
      <c r="L48" s="44" t="str">
        <f>IF($C48="","",VLOOKUP($C48,Roster[],6,0))</f>
        <v/>
      </c>
      <c r="M48" s="41" t="str">
        <f>IFERROR(IF((H48)="","",VLOOKUP(H48,Mode!$A$2:$B$5,2,FALSE)),"")</f>
        <v/>
      </c>
      <c r="N48" s="41"/>
      <c r="O48" s="45"/>
      <c r="P48" s="46"/>
    </row>
    <row r="49" spans="2:16" x14ac:dyDescent="0.2">
      <c r="B49" s="49"/>
      <c r="C49" s="71"/>
      <c r="D49" s="72"/>
      <c r="E49" s="41" t="str">
        <f>IF($C49="","",VLOOKUP($C49,Roster[],4,0))</f>
        <v/>
      </c>
      <c r="F49" s="41"/>
      <c r="G49" s="41"/>
      <c r="H49" s="41"/>
      <c r="I49" s="42" t="str">
        <f>IF($C49="","",VLOOKUP($C49,Roster[],7,0))</f>
        <v/>
      </c>
      <c r="J49" s="42" t="str">
        <f>IF($C49="","",VLOOKUP($C49,Roster[],2,0))</f>
        <v/>
      </c>
      <c r="K49" s="43" t="str">
        <f>IF($C49="","",VLOOKUP($C49,Roster[],5,0))</f>
        <v/>
      </c>
      <c r="L49" s="44" t="str">
        <f>IF($C49="","",VLOOKUP($C49,Roster[],6,0))</f>
        <v/>
      </c>
      <c r="M49" s="41" t="str">
        <f>IFERROR(IF((H49)="","",VLOOKUP(H49,Mode!$A$2:$B$5,2,FALSE)),"")</f>
        <v/>
      </c>
      <c r="N49" s="41"/>
      <c r="O49" s="45"/>
      <c r="P49" s="46"/>
    </row>
    <row r="50" spans="2:16" x14ac:dyDescent="0.2">
      <c r="B50" s="49"/>
      <c r="C50" s="71"/>
      <c r="D50" s="72"/>
      <c r="E50" s="41" t="str">
        <f>IF($C50="","",VLOOKUP($C50,Roster[],4,0))</f>
        <v/>
      </c>
      <c r="F50" s="41"/>
      <c r="G50" s="41"/>
      <c r="H50" s="41"/>
      <c r="I50" s="42" t="str">
        <f>IF($C50="","",VLOOKUP($C50,Roster[],7,0))</f>
        <v/>
      </c>
      <c r="J50" s="42" t="str">
        <f>IF($C50="","",VLOOKUP($C50,Roster[],2,0))</f>
        <v/>
      </c>
      <c r="K50" s="43" t="str">
        <f>IF($C50="","",VLOOKUP($C50,Roster[],5,0))</f>
        <v/>
      </c>
      <c r="L50" s="44" t="str">
        <f>IF($C50="","",VLOOKUP($C50,Roster[],6,0))</f>
        <v/>
      </c>
      <c r="M50" s="41" t="str">
        <f>IFERROR(IF((H50)="","",VLOOKUP(H50,Mode!$A$2:$B$5,2,FALSE)),"")</f>
        <v/>
      </c>
      <c r="N50" s="41"/>
      <c r="O50" s="45"/>
      <c r="P50" s="46"/>
    </row>
    <row r="51" spans="2:16" x14ac:dyDescent="0.2">
      <c r="B51" s="49"/>
      <c r="C51" s="71"/>
      <c r="D51" s="72"/>
      <c r="E51" s="41" t="str">
        <f>IF($C51="","",VLOOKUP($C51,Roster[],4,0))</f>
        <v/>
      </c>
      <c r="F51" s="41"/>
      <c r="G51" s="41"/>
      <c r="H51" s="41"/>
      <c r="I51" s="42" t="str">
        <f>IF($C51="","",VLOOKUP($C51,Roster[],7,0))</f>
        <v/>
      </c>
      <c r="J51" s="42" t="str">
        <f>IF($C51="","",VLOOKUP($C51,Roster[],2,0))</f>
        <v/>
      </c>
      <c r="K51" s="43" t="str">
        <f>IF($C51="","",VLOOKUP($C51,Roster[],5,0))</f>
        <v/>
      </c>
      <c r="L51" s="44" t="str">
        <f>IF($C51="","",VLOOKUP($C51,Roster[],6,0))</f>
        <v/>
      </c>
      <c r="M51" s="41" t="str">
        <f>IFERROR(IF((H51)="","",VLOOKUP(H51,Mode!$A$2:$B$5,2,FALSE)),"")</f>
        <v/>
      </c>
      <c r="N51" s="41"/>
      <c r="O51" s="45"/>
      <c r="P51" s="46"/>
    </row>
    <row r="52" spans="2:16" x14ac:dyDescent="0.2">
      <c r="B52" s="49"/>
      <c r="C52" s="71"/>
      <c r="D52" s="72"/>
      <c r="E52" s="41" t="str">
        <f>IF($C52="","",VLOOKUP($C52,Roster[],4,0))</f>
        <v/>
      </c>
      <c r="F52" s="41"/>
      <c r="G52" s="41"/>
      <c r="H52" s="41"/>
      <c r="I52" s="42" t="str">
        <f>IF($C52="","",VLOOKUP($C52,Roster[],7,0))</f>
        <v/>
      </c>
      <c r="J52" s="42" t="str">
        <f>IF($C52="","",VLOOKUP($C52,Roster[],2,0))</f>
        <v/>
      </c>
      <c r="K52" s="43" t="str">
        <f>IF($C52="","",VLOOKUP($C52,Roster[],5,0))</f>
        <v/>
      </c>
      <c r="L52" s="44" t="str">
        <f>IF($C52="","",VLOOKUP($C52,Roster[],6,0))</f>
        <v/>
      </c>
      <c r="M52" s="41" t="str">
        <f>IFERROR(IF((H52)="","",VLOOKUP(H52,Mode!$A$2:$B$5,2,FALSE)),"")</f>
        <v/>
      </c>
      <c r="N52" s="41"/>
      <c r="O52" s="45"/>
      <c r="P52" s="46"/>
    </row>
    <row r="53" spans="2:16" x14ac:dyDescent="0.2">
      <c r="B53" s="49"/>
      <c r="C53" s="71"/>
      <c r="D53" s="72"/>
      <c r="E53" s="41" t="str">
        <f>IF($C53="","",VLOOKUP($C53,Roster[],4,0))</f>
        <v/>
      </c>
      <c r="F53" s="41"/>
      <c r="G53" s="41"/>
      <c r="H53" s="41"/>
      <c r="I53" s="42" t="str">
        <f>IF($C53="","",VLOOKUP($C53,Roster[],7,0))</f>
        <v/>
      </c>
      <c r="J53" s="42" t="str">
        <f>IF($C53="","",VLOOKUP($C53,Roster[],2,0))</f>
        <v/>
      </c>
      <c r="K53" s="43" t="str">
        <f>IF($C53="","",VLOOKUP($C53,Roster[],5,0))</f>
        <v/>
      </c>
      <c r="L53" s="44" t="str">
        <f>IF($C53="","",VLOOKUP($C53,Roster[],6,0))</f>
        <v/>
      </c>
      <c r="M53" s="41" t="str">
        <f>IFERROR(IF((H53)="","",VLOOKUP(H53,Mode!$A$2:$B$5,2,FALSE)),"")</f>
        <v/>
      </c>
      <c r="N53" s="41"/>
      <c r="O53" s="45"/>
      <c r="P53" s="46"/>
    </row>
    <row r="54" spans="2:16" x14ac:dyDescent="0.2">
      <c r="B54" s="49"/>
      <c r="C54" s="71"/>
      <c r="D54" s="72"/>
      <c r="E54" s="41" t="str">
        <f>IF($C54="","",VLOOKUP($C54,Roster[],4,0))</f>
        <v/>
      </c>
      <c r="F54" s="41"/>
      <c r="G54" s="41"/>
      <c r="H54" s="41"/>
      <c r="I54" s="42" t="str">
        <f>IF($C54="","",VLOOKUP($C54,Roster[],7,0))</f>
        <v/>
      </c>
      <c r="J54" s="42" t="str">
        <f>IF($C54="","",VLOOKUP($C54,Roster[],2,0))</f>
        <v/>
      </c>
      <c r="K54" s="43" t="str">
        <f>IF($C54="","",VLOOKUP($C54,Roster[],5,0))</f>
        <v/>
      </c>
      <c r="L54" s="44" t="str">
        <f>IF($C54="","",VLOOKUP($C54,Roster[],6,0))</f>
        <v/>
      </c>
      <c r="M54" s="41" t="str">
        <f>IFERROR(IF((H54)="","",VLOOKUP(H54,Mode!$A$2:$B$5,2,FALSE)),"")</f>
        <v/>
      </c>
      <c r="N54" s="41"/>
      <c r="O54" s="45"/>
      <c r="P54" s="46"/>
    </row>
    <row r="55" spans="2:16" x14ac:dyDescent="0.2">
      <c r="B55" s="49"/>
      <c r="C55" s="71"/>
      <c r="D55" s="72"/>
      <c r="E55" s="41" t="str">
        <f>IF($C55="","",VLOOKUP($C55,Roster[],4,0))</f>
        <v/>
      </c>
      <c r="F55" s="41"/>
      <c r="G55" s="41"/>
      <c r="H55" s="41"/>
      <c r="I55" s="42" t="str">
        <f>IF($C55="","",VLOOKUP($C55,Roster[],7,0))</f>
        <v/>
      </c>
      <c r="J55" s="42" t="str">
        <f>IF($C55="","",VLOOKUP($C55,Roster[],2,0))</f>
        <v/>
      </c>
      <c r="K55" s="43" t="str">
        <f>IF($C55="","",VLOOKUP($C55,Roster[],5,0))</f>
        <v/>
      </c>
      <c r="L55" s="44" t="str">
        <f>IF($C55="","",VLOOKUP($C55,Roster[],6,0))</f>
        <v/>
      </c>
      <c r="M55" s="41" t="str">
        <f>IFERROR(IF((H55)="","",VLOOKUP(H55,Mode!$A$2:$B$5,2,FALSE)),"")</f>
        <v/>
      </c>
      <c r="N55" s="41"/>
      <c r="O55" s="45"/>
      <c r="P55" s="46"/>
    </row>
    <row r="56" spans="2:16" x14ac:dyDescent="0.2">
      <c r="B56" s="49"/>
      <c r="C56" s="71"/>
      <c r="D56" s="72"/>
      <c r="E56" s="41" t="str">
        <f>IF($C56="","",VLOOKUP($C56,Roster[],4,0))</f>
        <v/>
      </c>
      <c r="F56" s="41"/>
      <c r="G56" s="41"/>
      <c r="H56" s="41"/>
      <c r="I56" s="42" t="str">
        <f>IF($C56="","",VLOOKUP($C56,Roster[],7,0))</f>
        <v/>
      </c>
      <c r="J56" s="42" t="str">
        <f>IF($C56="","",VLOOKUP($C56,Roster[],2,0))</f>
        <v/>
      </c>
      <c r="K56" s="43" t="str">
        <f>IF($C56="","",VLOOKUP($C56,Roster[],5,0))</f>
        <v/>
      </c>
      <c r="L56" s="44" t="str">
        <f>IF($C56="","",VLOOKUP($C56,Roster[],6,0))</f>
        <v/>
      </c>
      <c r="M56" s="41" t="str">
        <f>IFERROR(IF((H56)="","",VLOOKUP(H56,Mode!$A$2:$B$5,2,FALSE)),"")</f>
        <v/>
      </c>
      <c r="N56" s="41"/>
      <c r="O56" s="45"/>
      <c r="P56" s="46"/>
    </row>
    <row r="57" spans="2:16" x14ac:dyDescent="0.2">
      <c r="B57" s="49"/>
      <c r="C57" s="71"/>
      <c r="D57" s="72"/>
      <c r="E57" s="41" t="str">
        <f>IF($C57="","",VLOOKUP($C57,Roster[],4,0))</f>
        <v/>
      </c>
      <c r="F57" s="41"/>
      <c r="G57" s="41"/>
      <c r="H57" s="41"/>
      <c r="I57" s="42" t="str">
        <f>IF($C57="","",VLOOKUP($C57,Roster[],7,0))</f>
        <v/>
      </c>
      <c r="J57" s="42" t="str">
        <f>IF($C57="","",VLOOKUP($C57,Roster[],2,0))</f>
        <v/>
      </c>
      <c r="K57" s="43" t="str">
        <f>IF($C57="","",VLOOKUP($C57,Roster[],5,0))</f>
        <v/>
      </c>
      <c r="L57" s="44" t="str">
        <f>IF($C57="","",VLOOKUP($C57,Roster[],6,0))</f>
        <v/>
      </c>
      <c r="M57" s="41" t="str">
        <f>IFERROR(IF((H57)="","",VLOOKUP(H57,Mode!$A$2:$B$5,2,FALSE)),"")</f>
        <v/>
      </c>
      <c r="N57" s="41"/>
      <c r="O57" s="45"/>
      <c r="P57" s="46"/>
    </row>
    <row r="58" spans="2:16" x14ac:dyDescent="0.2">
      <c r="B58" s="49"/>
      <c r="C58" s="71"/>
      <c r="D58" s="72"/>
      <c r="E58" s="41" t="str">
        <f>IF($C58="","",VLOOKUP($C58,Roster[],4,0))</f>
        <v/>
      </c>
      <c r="F58" s="41"/>
      <c r="G58" s="41"/>
      <c r="H58" s="41"/>
      <c r="I58" s="42" t="str">
        <f>IF($C58="","",VLOOKUP($C58,Roster[],7,0))</f>
        <v/>
      </c>
      <c r="J58" s="42" t="str">
        <f>IF($C58="","",VLOOKUP($C58,Roster[],2,0))</f>
        <v/>
      </c>
      <c r="K58" s="43" t="str">
        <f>IF($C58="","",VLOOKUP($C58,Roster[],5,0))</f>
        <v/>
      </c>
      <c r="L58" s="44" t="str">
        <f>IF($C58="","",VLOOKUP($C58,Roster[],6,0))</f>
        <v/>
      </c>
      <c r="M58" s="41" t="str">
        <f>IFERROR(IF((H58)="","",VLOOKUP(H58,Mode!$A$2:$B$5,2,FALSE)),"")</f>
        <v/>
      </c>
      <c r="N58" s="41"/>
      <c r="O58" s="45"/>
      <c r="P58" s="46"/>
    </row>
    <row r="59" spans="2:16" x14ac:dyDescent="0.2">
      <c r="B59" s="49"/>
      <c r="C59" s="71"/>
      <c r="D59" s="72"/>
      <c r="E59" s="41" t="str">
        <f>IF($C59="","",VLOOKUP($C59,Roster[],4,0))</f>
        <v/>
      </c>
      <c r="F59" s="41"/>
      <c r="G59" s="41"/>
      <c r="H59" s="41"/>
      <c r="I59" s="42" t="str">
        <f>IF($C59="","",VLOOKUP($C59,Roster[],7,0))</f>
        <v/>
      </c>
      <c r="J59" s="42" t="str">
        <f>IF($C59="","",VLOOKUP($C59,Roster[],2,0))</f>
        <v/>
      </c>
      <c r="K59" s="43" t="str">
        <f>IF($C59="","",VLOOKUP($C59,Roster[],5,0))</f>
        <v/>
      </c>
      <c r="L59" s="44" t="str">
        <f>IF($C59="","",VLOOKUP($C59,Roster[],6,0))</f>
        <v/>
      </c>
      <c r="M59" s="41" t="str">
        <f>IFERROR(IF((H59)="","",VLOOKUP(H59,Mode!$A$2:$B$5,2,FALSE)),"")</f>
        <v/>
      </c>
      <c r="N59" s="41"/>
      <c r="O59" s="45"/>
      <c r="P59" s="46"/>
    </row>
    <row r="60" spans="2:16" x14ac:dyDescent="0.2">
      <c r="B60" s="49"/>
      <c r="C60" s="71"/>
      <c r="D60" s="72"/>
      <c r="E60" s="41" t="str">
        <f>IF($C60="","",VLOOKUP($C60,Roster[],4,0))</f>
        <v/>
      </c>
      <c r="F60" s="41"/>
      <c r="G60" s="41"/>
      <c r="H60" s="41"/>
      <c r="I60" s="42" t="str">
        <f>IF($C60="","",VLOOKUP($C60,Roster[],7,0))</f>
        <v/>
      </c>
      <c r="J60" s="42" t="str">
        <f>IF($C60="","",VLOOKUP($C60,Roster[],2,0))</f>
        <v/>
      </c>
      <c r="K60" s="43" t="str">
        <f>IF($C60="","",VLOOKUP($C60,Roster[],5,0))</f>
        <v/>
      </c>
      <c r="L60" s="44" t="str">
        <f>IF($C60="","",VLOOKUP($C60,Roster[],6,0))</f>
        <v/>
      </c>
      <c r="M60" s="41" t="str">
        <f>IFERROR(IF((H60)="","",VLOOKUP(H60,Mode!$A$2:$B$5,2,FALSE)),"")</f>
        <v/>
      </c>
      <c r="N60" s="41"/>
      <c r="O60" s="45"/>
      <c r="P60" s="46"/>
    </row>
    <row r="61" spans="2:16" x14ac:dyDescent="0.2">
      <c r="B61" s="49"/>
      <c r="C61" s="71"/>
      <c r="D61" s="72"/>
      <c r="E61" s="41" t="str">
        <f>IF($C61="","",VLOOKUP($C61,Roster[],4,0))</f>
        <v/>
      </c>
      <c r="F61" s="41"/>
      <c r="G61" s="41"/>
      <c r="H61" s="41"/>
      <c r="I61" s="42" t="str">
        <f>IF($C61="","",VLOOKUP($C61,Roster[],7,0))</f>
        <v/>
      </c>
      <c r="J61" s="42" t="str">
        <f>IF($C61="","",VLOOKUP($C61,Roster[],2,0))</f>
        <v/>
      </c>
      <c r="K61" s="43" t="str">
        <f>IF($C61="","",VLOOKUP($C61,Roster[],5,0))</f>
        <v/>
      </c>
      <c r="L61" s="44" t="str">
        <f>IF($C61="","",VLOOKUP($C61,Roster[],6,0))</f>
        <v/>
      </c>
      <c r="M61" s="41" t="str">
        <f>IFERROR(IF((H61)="","",VLOOKUP(H61,Mode!$A$2:$B$5,2,FALSE)),"")</f>
        <v/>
      </c>
      <c r="N61" s="41"/>
      <c r="O61" s="45"/>
      <c r="P61" s="46"/>
    </row>
    <row r="62" spans="2:16" x14ac:dyDescent="0.2">
      <c r="B62" s="49"/>
      <c r="C62" s="71"/>
      <c r="D62" s="72"/>
      <c r="E62" s="41" t="str">
        <f>IF($C62="","",VLOOKUP($C62,Roster[],4,0))</f>
        <v/>
      </c>
      <c r="F62" s="41"/>
      <c r="G62" s="41"/>
      <c r="H62" s="41"/>
      <c r="I62" s="42" t="str">
        <f>IF($C62="","",VLOOKUP($C62,Roster[],7,0))</f>
        <v/>
      </c>
      <c r="J62" s="42" t="str">
        <f>IF($C62="","",VLOOKUP($C62,Roster[],2,0))</f>
        <v/>
      </c>
      <c r="K62" s="43" t="str">
        <f>IF($C62="","",VLOOKUP($C62,Roster[],5,0))</f>
        <v/>
      </c>
      <c r="L62" s="44" t="str">
        <f>IF($C62="","",VLOOKUP($C62,Roster[],6,0))</f>
        <v/>
      </c>
      <c r="M62" s="41" t="str">
        <f>IFERROR(IF((H62)="","",VLOOKUP(H62,Mode!$A$2:$B$5,2,FALSE)),"")</f>
        <v/>
      </c>
      <c r="N62" s="41"/>
      <c r="O62" s="45"/>
      <c r="P62" s="46"/>
    </row>
    <row r="63" spans="2:16" x14ac:dyDescent="0.2">
      <c r="B63" s="49"/>
      <c r="C63" s="71"/>
      <c r="D63" s="72"/>
      <c r="E63" s="41" t="str">
        <f>IF($C63="","",VLOOKUP($C63,Roster[],4,0))</f>
        <v/>
      </c>
      <c r="F63" s="41"/>
      <c r="G63" s="41"/>
      <c r="H63" s="41"/>
      <c r="I63" s="42" t="str">
        <f>IF($C63="","",VLOOKUP($C63,Roster[],7,0))</f>
        <v/>
      </c>
      <c r="J63" s="42" t="str">
        <f>IF($C63="","",VLOOKUP($C63,Roster[],2,0))</f>
        <v/>
      </c>
      <c r="K63" s="43" t="str">
        <f>IF($C63="","",VLOOKUP($C63,Roster[],5,0))</f>
        <v/>
      </c>
      <c r="L63" s="44" t="str">
        <f>IF($C63="","",VLOOKUP($C63,Roster[],6,0))</f>
        <v/>
      </c>
      <c r="M63" s="41" t="str">
        <f>IFERROR(IF((H63)="","",VLOOKUP(H63,Mode!$A$2:$B$5,2,FALSE)),"")</f>
        <v/>
      </c>
      <c r="N63" s="41"/>
      <c r="O63" s="45"/>
      <c r="P63" s="46"/>
    </row>
    <row r="64" spans="2:16" x14ac:dyDescent="0.2">
      <c r="B64" s="49"/>
      <c r="C64" s="71"/>
      <c r="D64" s="72"/>
      <c r="E64" s="41" t="str">
        <f>IF($C64="","",VLOOKUP($C64,Roster[],4,0))</f>
        <v/>
      </c>
      <c r="F64" s="41"/>
      <c r="G64" s="41"/>
      <c r="H64" s="41"/>
      <c r="I64" s="42" t="str">
        <f>IF($C64="","",VLOOKUP($C64,Roster[],7,0))</f>
        <v/>
      </c>
      <c r="J64" s="42" t="str">
        <f>IF($C64="","",VLOOKUP($C64,Roster[],2,0))</f>
        <v/>
      </c>
      <c r="K64" s="43" t="str">
        <f>IF($C64="","",VLOOKUP($C64,Roster[],5,0))</f>
        <v/>
      </c>
      <c r="L64" s="44" t="str">
        <f>IF($C64="","",VLOOKUP($C64,Roster[],6,0))</f>
        <v/>
      </c>
      <c r="M64" s="41" t="str">
        <f>IFERROR(IF((H64)="","",VLOOKUP(H64,Mode!$A$2:$B$5,2,FALSE)),"")</f>
        <v/>
      </c>
      <c r="N64" s="41"/>
      <c r="O64" s="45"/>
      <c r="P64" s="46"/>
    </row>
    <row r="65" spans="2:16" x14ac:dyDescent="0.2">
      <c r="B65" s="49"/>
      <c r="C65" s="71"/>
      <c r="D65" s="72"/>
      <c r="E65" s="41" t="str">
        <f>IF($C65="","",VLOOKUP($C65,Roster[],4,0))</f>
        <v/>
      </c>
      <c r="F65" s="41"/>
      <c r="G65" s="41"/>
      <c r="H65" s="41"/>
      <c r="I65" s="42" t="str">
        <f>IF($C65="","",VLOOKUP($C65,Roster[],7,0))</f>
        <v/>
      </c>
      <c r="J65" s="42" t="str">
        <f>IF($C65="","",VLOOKUP($C65,Roster[],2,0))</f>
        <v/>
      </c>
      <c r="K65" s="43" t="str">
        <f>IF($C65="","",VLOOKUP($C65,Roster[],5,0))</f>
        <v/>
      </c>
      <c r="L65" s="44" t="str">
        <f>IF($C65="","",VLOOKUP($C65,Roster[],6,0))</f>
        <v/>
      </c>
      <c r="M65" s="41" t="str">
        <f>IFERROR(IF((H65)="","",VLOOKUP(H65,Mode!$A$2:$B$5,2,FALSE)),"")</f>
        <v/>
      </c>
      <c r="N65" s="41"/>
      <c r="O65" s="45"/>
      <c r="P65" s="46"/>
    </row>
    <row r="66" spans="2:16" x14ac:dyDescent="0.2">
      <c r="B66" s="49"/>
      <c r="C66" s="71"/>
      <c r="D66" s="72"/>
      <c r="E66" s="41" t="str">
        <f>IF($C66="","",VLOOKUP($C66,Roster[],4,0))</f>
        <v/>
      </c>
      <c r="F66" s="41"/>
      <c r="G66" s="41"/>
      <c r="H66" s="41"/>
      <c r="I66" s="42" t="str">
        <f>IF($C66="","",VLOOKUP($C66,Roster[],7,0))</f>
        <v/>
      </c>
      <c r="J66" s="42" t="str">
        <f>IF($C66="","",VLOOKUP($C66,Roster[],2,0))</f>
        <v/>
      </c>
      <c r="K66" s="43" t="str">
        <f>IF($C66="","",VLOOKUP($C66,Roster[],5,0))</f>
        <v/>
      </c>
      <c r="L66" s="44" t="str">
        <f>IF($C66="","",VLOOKUP($C66,Roster[],6,0))</f>
        <v/>
      </c>
      <c r="M66" s="41" t="str">
        <f>IFERROR(IF((H66)="","",VLOOKUP(H66,Mode!$A$2:$B$5,2,FALSE)),"")</f>
        <v/>
      </c>
      <c r="N66" s="41"/>
      <c r="O66" s="45"/>
      <c r="P66" s="46"/>
    </row>
    <row r="67" spans="2:16" x14ac:dyDescent="0.2">
      <c r="B67" s="49"/>
      <c r="C67" s="71"/>
      <c r="D67" s="72"/>
      <c r="E67" s="41" t="str">
        <f>IF($C67="","",VLOOKUP($C67,Roster[],4,0))</f>
        <v/>
      </c>
      <c r="F67" s="41"/>
      <c r="G67" s="41"/>
      <c r="H67" s="41"/>
      <c r="I67" s="42" t="str">
        <f>IF($C67="","",VLOOKUP($C67,Roster[],7,0))</f>
        <v/>
      </c>
      <c r="J67" s="42" t="str">
        <f>IF($C67="","",VLOOKUP($C67,Roster[],2,0))</f>
        <v/>
      </c>
      <c r="K67" s="43" t="str">
        <f>IF($C67="","",VLOOKUP($C67,Roster[],5,0))</f>
        <v/>
      </c>
      <c r="L67" s="44" t="str">
        <f>IF($C67="","",VLOOKUP($C67,Roster[],6,0))</f>
        <v/>
      </c>
      <c r="M67" s="41" t="str">
        <f>IFERROR(IF((H67)="","",VLOOKUP(H67,Mode!$A$2:$B$5,2,FALSE)),"")</f>
        <v/>
      </c>
      <c r="N67" s="41"/>
      <c r="O67" s="45"/>
      <c r="P67" s="46"/>
    </row>
    <row r="68" spans="2:16" x14ac:dyDescent="0.2">
      <c r="B68" s="49"/>
      <c r="C68" s="71"/>
      <c r="D68" s="72"/>
      <c r="E68" s="41" t="str">
        <f>IF($C68="","",VLOOKUP($C68,Roster[],4,0))</f>
        <v/>
      </c>
      <c r="F68" s="41"/>
      <c r="G68" s="41"/>
      <c r="H68" s="41"/>
      <c r="I68" s="42" t="str">
        <f>IF($C68="","",VLOOKUP($C68,Roster[],7,0))</f>
        <v/>
      </c>
      <c r="J68" s="42" t="str">
        <f>IF($C68="","",VLOOKUP($C68,Roster[],2,0))</f>
        <v/>
      </c>
      <c r="K68" s="43" t="str">
        <f>IF($C68="","",VLOOKUP($C68,Roster[],5,0))</f>
        <v/>
      </c>
      <c r="L68" s="44" t="str">
        <f>IF($C68="","",VLOOKUP($C68,Roster[],6,0))</f>
        <v/>
      </c>
      <c r="M68" s="41" t="str">
        <f>IFERROR(IF((H68)="","",VLOOKUP(H68,Mode!$A$2:$B$5,2,FALSE)),"")</f>
        <v/>
      </c>
      <c r="N68" s="41"/>
      <c r="O68" s="45"/>
      <c r="P68" s="46"/>
    </row>
    <row r="69" spans="2:16" x14ac:dyDescent="0.2">
      <c r="B69" s="49"/>
      <c r="C69" s="71"/>
      <c r="D69" s="72"/>
      <c r="E69" s="41" t="str">
        <f>IF($C69="","",VLOOKUP($C69,Roster[],4,0))</f>
        <v/>
      </c>
      <c r="F69" s="41"/>
      <c r="G69" s="41"/>
      <c r="H69" s="41"/>
      <c r="I69" s="42" t="str">
        <f>IF($C69="","",VLOOKUP($C69,Roster[],7,0))</f>
        <v/>
      </c>
      <c r="J69" s="42" t="str">
        <f>IF($C69="","",VLOOKUP($C69,Roster[],2,0))</f>
        <v/>
      </c>
      <c r="K69" s="43" t="str">
        <f>IF($C69="","",VLOOKUP($C69,Roster[],5,0))</f>
        <v/>
      </c>
      <c r="L69" s="44" t="str">
        <f>IF($C69="","",VLOOKUP($C69,Roster[],6,0))</f>
        <v/>
      </c>
      <c r="M69" s="41" t="str">
        <f>IFERROR(IF((H69)="","",VLOOKUP(H69,Mode!$A$2:$B$5,2,FALSE)),"")</f>
        <v/>
      </c>
      <c r="N69" s="41"/>
      <c r="O69" s="45"/>
      <c r="P69" s="46"/>
    </row>
    <row r="70" spans="2:16" x14ac:dyDescent="0.2">
      <c r="B70" s="49"/>
      <c r="C70" s="71"/>
      <c r="D70" s="72"/>
      <c r="E70" s="41" t="str">
        <f>IF($C70="","",VLOOKUP($C70,Roster[],4,0))</f>
        <v/>
      </c>
      <c r="F70" s="41"/>
      <c r="G70" s="41"/>
      <c r="H70" s="41"/>
      <c r="I70" s="42" t="str">
        <f>IF($C70="","",VLOOKUP($C70,Roster[],7,0))</f>
        <v/>
      </c>
      <c r="J70" s="42" t="str">
        <f>IF($C70="","",VLOOKUP($C70,Roster[],2,0))</f>
        <v/>
      </c>
      <c r="K70" s="43" t="str">
        <f>IF($C70="","",VLOOKUP($C70,Roster[],5,0))</f>
        <v/>
      </c>
      <c r="L70" s="44" t="str">
        <f>IF($C70="","",VLOOKUP($C70,Roster[],6,0))</f>
        <v/>
      </c>
      <c r="M70" s="41" t="str">
        <f>IFERROR(IF((H70)="","",VLOOKUP(H70,Mode!$A$2:$B$5,2,FALSE)),"")</f>
        <v/>
      </c>
      <c r="N70" s="41"/>
      <c r="O70" s="45"/>
      <c r="P70" s="46"/>
    </row>
    <row r="71" spans="2:16" x14ac:dyDescent="0.2">
      <c r="B71" s="49"/>
      <c r="C71" s="71"/>
      <c r="D71" s="72"/>
      <c r="E71" s="41" t="str">
        <f>IF($C71="","",VLOOKUP($C71,Roster[],4,0))</f>
        <v/>
      </c>
      <c r="F71" s="41"/>
      <c r="G71" s="41"/>
      <c r="H71" s="41"/>
      <c r="I71" s="42" t="str">
        <f>IF($C71="","",VLOOKUP($C71,Roster[],7,0))</f>
        <v/>
      </c>
      <c r="J71" s="42" t="str">
        <f>IF($C71="","",VLOOKUP($C71,Roster[],2,0))</f>
        <v/>
      </c>
      <c r="K71" s="43" t="str">
        <f>IF($C71="","",VLOOKUP($C71,Roster[],5,0))</f>
        <v/>
      </c>
      <c r="L71" s="44" t="str">
        <f>IF($C71="","",VLOOKUP($C71,Roster[],6,0))</f>
        <v/>
      </c>
      <c r="M71" s="41" t="str">
        <f>IFERROR(IF((H71)="","",VLOOKUP(H71,Mode!$A$2:$B$5,2,FALSE)),"")</f>
        <v/>
      </c>
      <c r="N71" s="41"/>
      <c r="O71" s="45"/>
      <c r="P71" s="46"/>
    </row>
    <row r="72" spans="2:16" x14ac:dyDescent="0.2">
      <c r="B72" s="49"/>
      <c r="C72" s="71"/>
      <c r="D72" s="72"/>
      <c r="E72" s="41" t="str">
        <f>IF($C72="","",VLOOKUP($C72,Roster[],4,0))</f>
        <v/>
      </c>
      <c r="F72" s="41"/>
      <c r="G72" s="41"/>
      <c r="H72" s="41"/>
      <c r="I72" s="42" t="str">
        <f>IF($C72="","",VLOOKUP($C72,Roster[],7,0))</f>
        <v/>
      </c>
      <c r="J72" s="42" t="str">
        <f>IF($C72="","",VLOOKUP($C72,Roster[],2,0))</f>
        <v/>
      </c>
      <c r="K72" s="43" t="str">
        <f>IF($C72="","",VLOOKUP($C72,Roster[],5,0))</f>
        <v/>
      </c>
      <c r="L72" s="44" t="str">
        <f>IF($C72="","",VLOOKUP($C72,Roster[],6,0))</f>
        <v/>
      </c>
      <c r="M72" s="41" t="str">
        <f>IFERROR(IF((H72)="","",VLOOKUP(H72,Mode!$A$2:$B$5,2,FALSE)),"")</f>
        <v/>
      </c>
      <c r="N72" s="41"/>
      <c r="O72" s="45"/>
      <c r="P72" s="46"/>
    </row>
    <row r="73" spans="2:16" x14ac:dyDescent="0.2">
      <c r="B73" s="49"/>
      <c r="C73" s="71"/>
      <c r="D73" s="72"/>
      <c r="E73" s="41" t="str">
        <f>IF($C73="","",VLOOKUP($C73,Roster[],4,0))</f>
        <v/>
      </c>
      <c r="F73" s="41"/>
      <c r="G73" s="41"/>
      <c r="H73" s="41"/>
      <c r="I73" s="42" t="str">
        <f>IF($C73="","",VLOOKUP($C73,Roster[],7,0))</f>
        <v/>
      </c>
      <c r="J73" s="42" t="str">
        <f>IF($C73="","",VLOOKUP($C73,Roster[],2,0))</f>
        <v/>
      </c>
      <c r="K73" s="43" t="str">
        <f>IF($C73="","",VLOOKUP($C73,Roster[],5,0))</f>
        <v/>
      </c>
      <c r="L73" s="44" t="str">
        <f>IF($C73="","",VLOOKUP($C73,Roster[],6,0))</f>
        <v/>
      </c>
      <c r="M73" s="41" t="str">
        <f>IFERROR(IF((H73)="","",VLOOKUP(H73,Mode!$A$2:$B$5,2,FALSE)),"")</f>
        <v/>
      </c>
      <c r="N73" s="41"/>
      <c r="O73" s="45"/>
      <c r="P73" s="46"/>
    </row>
    <row r="74" spans="2:16" x14ac:dyDescent="0.2">
      <c r="B74" s="49"/>
      <c r="C74" s="71"/>
      <c r="D74" s="72"/>
      <c r="E74" s="41" t="str">
        <f>IF($C74="","",VLOOKUP($C74,Roster[],4,0))</f>
        <v/>
      </c>
      <c r="F74" s="41"/>
      <c r="G74" s="41"/>
      <c r="H74" s="41"/>
      <c r="I74" s="42" t="str">
        <f>IF($C74="","",VLOOKUP($C74,Roster[],7,0))</f>
        <v/>
      </c>
      <c r="J74" s="42" t="str">
        <f>IF($C74="","",VLOOKUP($C74,Roster[],2,0))</f>
        <v/>
      </c>
      <c r="K74" s="43" t="str">
        <f>IF($C74="","",VLOOKUP($C74,Roster[],5,0))</f>
        <v/>
      </c>
      <c r="L74" s="44" t="str">
        <f>IF($C74="","",VLOOKUP($C74,Roster[],6,0))</f>
        <v/>
      </c>
      <c r="M74" s="41" t="str">
        <f>IFERROR(IF((H74)="","",VLOOKUP(H74,Mode!$A$2:$B$5,2,FALSE)),"")</f>
        <v/>
      </c>
      <c r="N74" s="41"/>
      <c r="O74" s="45"/>
      <c r="P74" s="46"/>
    </row>
    <row r="75" spans="2:16" x14ac:dyDescent="0.2">
      <c r="B75" s="49"/>
      <c r="C75" s="71"/>
      <c r="D75" s="72"/>
      <c r="E75" s="41" t="str">
        <f>IF($C75="","",VLOOKUP($C75,Roster[],4,0))</f>
        <v/>
      </c>
      <c r="F75" s="41"/>
      <c r="G75" s="41"/>
      <c r="H75" s="41"/>
      <c r="I75" s="42" t="str">
        <f>IF($C75="","",VLOOKUP($C75,Roster[],7,0))</f>
        <v/>
      </c>
      <c r="J75" s="42" t="str">
        <f>IF($C75="","",VLOOKUP($C75,Roster[],2,0))</f>
        <v/>
      </c>
      <c r="K75" s="43" t="str">
        <f>IF($C75="","",VLOOKUP($C75,Roster[],5,0))</f>
        <v/>
      </c>
      <c r="L75" s="44" t="str">
        <f>IF($C75="","",VLOOKUP($C75,Roster[],6,0))</f>
        <v/>
      </c>
      <c r="M75" s="41" t="str">
        <f>IFERROR(IF((H75)="","",VLOOKUP(H75,Mode!$A$2:$B$5,2,FALSE)),"")</f>
        <v/>
      </c>
      <c r="N75" s="41"/>
      <c r="O75" s="45"/>
      <c r="P75" s="46"/>
    </row>
    <row r="76" spans="2:16" x14ac:dyDescent="0.2">
      <c r="B76" s="49"/>
      <c r="C76" s="71"/>
      <c r="D76" s="72"/>
      <c r="E76" s="41" t="str">
        <f>IF($C76="","",VLOOKUP($C76,Roster[],4,0))</f>
        <v/>
      </c>
      <c r="F76" s="41"/>
      <c r="G76" s="41"/>
      <c r="H76" s="41"/>
      <c r="I76" s="42" t="str">
        <f>IF($C76="","",VLOOKUP($C76,Roster[],7,0))</f>
        <v/>
      </c>
      <c r="J76" s="42" t="str">
        <f>IF($C76="","",VLOOKUP($C76,Roster[],2,0))</f>
        <v/>
      </c>
      <c r="K76" s="43" t="str">
        <f>IF($C76="","",VLOOKUP($C76,Roster[],5,0))</f>
        <v/>
      </c>
      <c r="L76" s="44" t="str">
        <f>IF($C76="","",VLOOKUP($C76,Roster[],6,0))</f>
        <v/>
      </c>
      <c r="M76" s="41" t="str">
        <f>IFERROR(IF((H76)="","",VLOOKUP(H76,Mode!$A$2:$B$5,2,FALSE)),"")</f>
        <v/>
      </c>
      <c r="N76" s="41"/>
      <c r="O76" s="45"/>
      <c r="P76" s="46"/>
    </row>
    <row r="77" spans="2:16" x14ac:dyDescent="0.2">
      <c r="B77" s="49"/>
      <c r="C77" s="71"/>
      <c r="D77" s="72"/>
      <c r="E77" s="41" t="str">
        <f>IF($C77="","",VLOOKUP($C77,Roster[],4,0))</f>
        <v/>
      </c>
      <c r="F77" s="41"/>
      <c r="G77" s="41"/>
      <c r="H77" s="41"/>
      <c r="I77" s="42" t="str">
        <f>IF($C77="","",VLOOKUP($C77,Roster[],7,0))</f>
        <v/>
      </c>
      <c r="J77" s="42" t="str">
        <f>IF($C77="","",VLOOKUP($C77,Roster[],2,0))</f>
        <v/>
      </c>
      <c r="K77" s="43" t="str">
        <f>IF($C77="","",VLOOKUP($C77,Roster[],5,0))</f>
        <v/>
      </c>
      <c r="L77" s="44" t="str">
        <f>IF($C77="","",VLOOKUP($C77,Roster[],6,0))</f>
        <v/>
      </c>
      <c r="M77" s="41" t="str">
        <f>IFERROR(IF((H77)="","",VLOOKUP(H77,Mode!$A$2:$B$5,2,FALSE)),"")</f>
        <v/>
      </c>
      <c r="N77" s="41"/>
      <c r="O77" s="45"/>
      <c r="P77" s="46"/>
    </row>
    <row r="78" spans="2:16" x14ac:dyDescent="0.2">
      <c r="B78" s="49"/>
      <c r="C78" s="71"/>
      <c r="D78" s="72"/>
      <c r="E78" s="41" t="str">
        <f>IF($C78="","",VLOOKUP($C78,Roster[],4,0))</f>
        <v/>
      </c>
      <c r="F78" s="41"/>
      <c r="G78" s="41"/>
      <c r="H78" s="41"/>
      <c r="I78" s="42" t="str">
        <f>IF($C78="","",VLOOKUP($C78,Roster[],7,0))</f>
        <v/>
      </c>
      <c r="J78" s="42" t="str">
        <f>IF($C78="","",VLOOKUP($C78,Roster[],2,0))</f>
        <v/>
      </c>
      <c r="K78" s="43" t="str">
        <f>IF($C78="","",VLOOKUP($C78,Roster[],5,0))</f>
        <v/>
      </c>
      <c r="L78" s="44" t="str">
        <f>IF($C78="","",VLOOKUP($C78,Roster[],6,0))</f>
        <v/>
      </c>
      <c r="M78" s="41" t="str">
        <f>IFERROR(IF((H78)="","",VLOOKUP(H78,Mode!$A$2:$B$5,2,FALSE)),"")</f>
        <v/>
      </c>
      <c r="N78" s="41"/>
      <c r="O78" s="45"/>
      <c r="P78" s="46"/>
    </row>
    <row r="79" spans="2:16" x14ac:dyDescent="0.2">
      <c r="B79" s="49"/>
      <c r="C79" s="71"/>
      <c r="D79" s="72"/>
      <c r="E79" s="41" t="str">
        <f>IF($C79="","",VLOOKUP($C79,Roster[],4,0))</f>
        <v/>
      </c>
      <c r="F79" s="41"/>
      <c r="G79" s="41"/>
      <c r="H79" s="41"/>
      <c r="I79" s="42" t="str">
        <f>IF($C79="","",VLOOKUP($C79,Roster[],7,0))</f>
        <v/>
      </c>
      <c r="J79" s="42" t="str">
        <f>IF($C79="","",VLOOKUP($C79,Roster[],2,0))</f>
        <v/>
      </c>
      <c r="K79" s="43" t="str">
        <f>IF($C79="","",VLOOKUP($C79,Roster[],5,0))</f>
        <v/>
      </c>
      <c r="L79" s="44" t="str">
        <f>IF($C79="","",VLOOKUP($C79,Roster[],6,0))</f>
        <v/>
      </c>
      <c r="M79" s="41" t="str">
        <f>IFERROR(IF((H79)="","",VLOOKUP(H79,Mode!$A$2:$B$5,2,FALSE)),"")</f>
        <v/>
      </c>
      <c r="N79" s="41"/>
      <c r="O79" s="45"/>
      <c r="P79" s="46"/>
    </row>
    <row r="80" spans="2:16" x14ac:dyDescent="0.2">
      <c r="B80" s="49"/>
      <c r="C80" s="71"/>
      <c r="D80" s="72"/>
      <c r="E80" s="41" t="str">
        <f>IF($C80="","",VLOOKUP($C80,Roster[],4,0))</f>
        <v/>
      </c>
      <c r="F80" s="41"/>
      <c r="G80" s="41"/>
      <c r="H80" s="41"/>
      <c r="I80" s="42" t="str">
        <f>IF($C80="","",VLOOKUP($C80,Roster[],7,0))</f>
        <v/>
      </c>
      <c r="J80" s="42" t="str">
        <f>IF($C80="","",VLOOKUP($C80,Roster[],2,0))</f>
        <v/>
      </c>
      <c r="K80" s="43" t="str">
        <f>IF($C80="","",VLOOKUP($C80,Roster[],5,0))</f>
        <v/>
      </c>
      <c r="L80" s="44" t="str">
        <f>IF($C80="","",VLOOKUP($C80,Roster[],6,0))</f>
        <v/>
      </c>
      <c r="M80" s="41" t="str">
        <f>IFERROR(IF((H80)="","",VLOOKUP(H80,Mode!$A$2:$B$5,2,FALSE)),"")</f>
        <v/>
      </c>
      <c r="N80" s="41"/>
      <c r="O80" s="45"/>
      <c r="P80" s="46"/>
    </row>
    <row r="81" spans="2:16" x14ac:dyDescent="0.2">
      <c r="B81" s="49"/>
      <c r="C81" s="71"/>
      <c r="D81" s="72"/>
      <c r="E81" s="41" t="str">
        <f>IF($C81="","",VLOOKUP($C81,Roster[],4,0))</f>
        <v/>
      </c>
      <c r="F81" s="41"/>
      <c r="G81" s="41"/>
      <c r="H81" s="41"/>
      <c r="I81" s="42" t="str">
        <f>IF($C81="","",VLOOKUP($C81,Roster[],7,0))</f>
        <v/>
      </c>
      <c r="J81" s="42" t="str">
        <f>IF($C81="","",VLOOKUP($C81,Roster[],2,0))</f>
        <v/>
      </c>
      <c r="K81" s="43" t="str">
        <f>IF($C81="","",VLOOKUP($C81,Roster[],5,0))</f>
        <v/>
      </c>
      <c r="L81" s="44" t="str">
        <f>IF($C81="","",VLOOKUP($C81,Roster[],6,0))</f>
        <v/>
      </c>
      <c r="M81" s="41" t="str">
        <f>IFERROR(IF((H81)="","",VLOOKUP(H81,Mode!$A$2:$B$5,2,FALSE)),"")</f>
        <v/>
      </c>
      <c r="N81" s="41"/>
      <c r="O81" s="45"/>
      <c r="P81" s="46"/>
    </row>
    <row r="82" spans="2:16" x14ac:dyDescent="0.2">
      <c r="B82" s="49"/>
      <c r="C82" s="71"/>
      <c r="D82" s="72"/>
      <c r="E82" s="41" t="str">
        <f>IF($C82="","",VLOOKUP($C82,Roster[],4,0))</f>
        <v/>
      </c>
      <c r="F82" s="41"/>
      <c r="G82" s="41"/>
      <c r="H82" s="41"/>
      <c r="I82" s="42" t="str">
        <f>IF($C82="","",VLOOKUP($C82,Roster[],7,0))</f>
        <v/>
      </c>
      <c r="J82" s="42" t="str">
        <f>IF($C82="","",VLOOKUP($C82,Roster[],2,0))</f>
        <v/>
      </c>
      <c r="K82" s="43" t="str">
        <f>IF($C82="","",VLOOKUP($C82,Roster[],5,0))</f>
        <v/>
      </c>
      <c r="L82" s="44" t="str">
        <f>IF($C82="","",VLOOKUP($C82,Roster[],6,0))</f>
        <v/>
      </c>
      <c r="M82" s="41" t="str">
        <f>IFERROR(IF((H82)="","",VLOOKUP(H82,Mode!$A$2:$B$5,2,FALSE)),"")</f>
        <v/>
      </c>
      <c r="N82" s="41"/>
      <c r="O82" s="45"/>
      <c r="P82" s="46"/>
    </row>
    <row r="83" spans="2:16" x14ac:dyDescent="0.2">
      <c r="B83" s="49"/>
      <c r="C83" s="71"/>
      <c r="D83" s="72"/>
      <c r="E83" s="41" t="str">
        <f>IF($C83="","",VLOOKUP($C83,Roster[],4,0))</f>
        <v/>
      </c>
      <c r="F83" s="41"/>
      <c r="G83" s="41"/>
      <c r="H83" s="41"/>
      <c r="I83" s="42" t="str">
        <f>IF($C83="","",VLOOKUP($C83,Roster[],7,0))</f>
        <v/>
      </c>
      <c r="J83" s="42" t="str">
        <f>IF($C83="","",VLOOKUP($C83,Roster[],2,0))</f>
        <v/>
      </c>
      <c r="K83" s="43" t="str">
        <f>IF($C83="","",VLOOKUP($C83,Roster[],5,0))</f>
        <v/>
      </c>
      <c r="L83" s="44" t="str">
        <f>IF($C83="","",VLOOKUP($C83,Roster[],6,0))</f>
        <v/>
      </c>
      <c r="M83" s="41" t="str">
        <f>IFERROR(IF((H83)="","",VLOOKUP(H83,Mode!$A$2:$B$5,2,FALSE)),"")</f>
        <v/>
      </c>
      <c r="N83" s="41"/>
      <c r="O83" s="45"/>
      <c r="P83" s="46"/>
    </row>
    <row r="84" spans="2:16" x14ac:dyDescent="0.2">
      <c r="B84" s="49"/>
      <c r="C84" s="71"/>
      <c r="D84" s="72"/>
      <c r="E84" s="41" t="str">
        <f>IF($C84="","",VLOOKUP($C84,Roster[],4,0))</f>
        <v/>
      </c>
      <c r="F84" s="41"/>
      <c r="G84" s="41"/>
      <c r="H84" s="41"/>
      <c r="I84" s="42" t="str">
        <f>IF($C84="","",VLOOKUP($C84,Roster[],7,0))</f>
        <v/>
      </c>
      <c r="J84" s="42" t="str">
        <f>IF($C84="","",VLOOKUP($C84,Roster[],2,0))</f>
        <v/>
      </c>
      <c r="K84" s="43" t="str">
        <f>IF($C84="","",VLOOKUP($C84,Roster[],5,0))</f>
        <v/>
      </c>
      <c r="L84" s="44" t="str">
        <f>IF($C84="","",VLOOKUP($C84,Roster[],6,0))</f>
        <v/>
      </c>
      <c r="M84" s="41" t="str">
        <f>IFERROR(IF((H84)="","",VLOOKUP(H84,Mode!$A$2:$B$5,2,FALSE)),"")</f>
        <v/>
      </c>
      <c r="N84" s="41"/>
      <c r="O84" s="45"/>
      <c r="P84" s="46"/>
    </row>
    <row r="85" spans="2:16" x14ac:dyDescent="0.2">
      <c r="B85" s="49"/>
      <c r="C85" s="71"/>
      <c r="D85" s="72"/>
      <c r="E85" s="41" t="str">
        <f>IF($C85="","",VLOOKUP($C85,Roster[],4,0))</f>
        <v/>
      </c>
      <c r="F85" s="41"/>
      <c r="G85" s="41"/>
      <c r="H85" s="41"/>
      <c r="I85" s="42" t="str">
        <f>IF($C85="","",VLOOKUP($C85,Roster[],7,0))</f>
        <v/>
      </c>
      <c r="J85" s="42" t="str">
        <f>IF($C85="","",VLOOKUP($C85,Roster[],2,0))</f>
        <v/>
      </c>
      <c r="K85" s="43" t="str">
        <f>IF($C85="","",VLOOKUP($C85,Roster[],5,0))</f>
        <v/>
      </c>
      <c r="L85" s="44" t="str">
        <f>IF($C85="","",VLOOKUP($C85,Roster[],6,0))</f>
        <v/>
      </c>
      <c r="M85" s="41" t="str">
        <f>IFERROR(IF((H85)="","",VLOOKUP(H85,Mode!$A$2:$B$5,2,FALSE)),"")</f>
        <v/>
      </c>
      <c r="N85" s="41"/>
      <c r="O85" s="45"/>
      <c r="P85" s="46"/>
    </row>
    <row r="86" spans="2:16" x14ac:dyDescent="0.2">
      <c r="B86" s="49"/>
      <c r="C86" s="71"/>
      <c r="D86" s="72"/>
      <c r="E86" s="41" t="str">
        <f>IF($C86="","",VLOOKUP($C86,Roster[],4,0))</f>
        <v/>
      </c>
      <c r="F86" s="41"/>
      <c r="G86" s="41"/>
      <c r="H86" s="41"/>
      <c r="I86" s="42" t="str">
        <f>IF($C86="","",VLOOKUP($C86,Roster[],7,0))</f>
        <v/>
      </c>
      <c r="J86" s="42" t="str">
        <f>IF($C86="","",VLOOKUP($C86,Roster[],2,0))</f>
        <v/>
      </c>
      <c r="K86" s="43" t="str">
        <f>IF($C86="","",VLOOKUP($C86,Roster[],5,0))</f>
        <v/>
      </c>
      <c r="L86" s="44" t="str">
        <f>IF($C86="","",VLOOKUP($C86,Roster[],6,0))</f>
        <v/>
      </c>
      <c r="M86" s="41" t="str">
        <f>IFERROR(IF((H86)="","",VLOOKUP(H86,Mode!$A$2:$B$5,2,FALSE)),"")</f>
        <v/>
      </c>
      <c r="N86" s="41"/>
      <c r="O86" s="45"/>
      <c r="P86" s="46"/>
    </row>
    <row r="87" spans="2:16" x14ac:dyDescent="0.2">
      <c r="B87" s="49"/>
      <c r="C87" s="71"/>
      <c r="D87" s="72"/>
      <c r="E87" s="41" t="str">
        <f>IF($C87="","",VLOOKUP($C87,Roster[],4,0))</f>
        <v/>
      </c>
      <c r="F87" s="41"/>
      <c r="G87" s="41"/>
      <c r="H87" s="41"/>
      <c r="I87" s="42" t="str">
        <f>IF($C87="","",VLOOKUP($C87,Roster[],7,0))</f>
        <v/>
      </c>
      <c r="J87" s="42" t="str">
        <f>IF($C87="","",VLOOKUP($C87,Roster[],2,0))</f>
        <v/>
      </c>
      <c r="K87" s="43" t="str">
        <f>IF($C87="","",VLOOKUP($C87,Roster[],5,0))</f>
        <v/>
      </c>
      <c r="L87" s="44" t="str">
        <f>IF($C87="","",VLOOKUP($C87,Roster[],6,0))</f>
        <v/>
      </c>
      <c r="M87" s="41" t="str">
        <f>IFERROR(IF((H87)="","",VLOOKUP(H87,Mode!$A$2:$B$5,2,FALSE)),"")</f>
        <v/>
      </c>
      <c r="N87" s="41"/>
      <c r="O87" s="45"/>
      <c r="P87" s="46"/>
    </row>
    <row r="88" spans="2:16" x14ac:dyDescent="0.2">
      <c r="B88" s="49"/>
      <c r="C88" s="71"/>
      <c r="D88" s="72"/>
      <c r="E88" s="41" t="str">
        <f>IF($C88="","",VLOOKUP($C88,Roster[],4,0))</f>
        <v/>
      </c>
      <c r="F88" s="41"/>
      <c r="G88" s="41"/>
      <c r="H88" s="41"/>
      <c r="I88" s="42" t="str">
        <f>IF($C88="","",VLOOKUP($C88,Roster[],7,0))</f>
        <v/>
      </c>
      <c r="J88" s="42" t="str">
        <f>IF($C88="","",VLOOKUP($C88,Roster[],2,0))</f>
        <v/>
      </c>
      <c r="K88" s="43" t="str">
        <f>IF($C88="","",VLOOKUP($C88,Roster[],5,0))</f>
        <v/>
      </c>
      <c r="L88" s="44" t="str">
        <f>IF($C88="","",VLOOKUP($C88,Roster[],6,0))</f>
        <v/>
      </c>
      <c r="M88" s="41" t="str">
        <f>IFERROR(IF((H88)="","",VLOOKUP(H88,Mode!$A$2:$B$5,2,FALSE)),"")</f>
        <v/>
      </c>
      <c r="N88" s="41"/>
      <c r="O88" s="45"/>
      <c r="P88" s="46"/>
    </row>
    <row r="89" spans="2:16" x14ac:dyDescent="0.2">
      <c r="B89" s="49"/>
      <c r="C89" s="71"/>
      <c r="D89" s="72"/>
      <c r="E89" s="41" t="str">
        <f>IF($C89="","",VLOOKUP($C89,Roster[],4,0))</f>
        <v/>
      </c>
      <c r="F89" s="41"/>
      <c r="G89" s="41"/>
      <c r="H89" s="41"/>
      <c r="I89" s="42" t="str">
        <f>IF($C89="","",VLOOKUP($C89,Roster[],7,0))</f>
        <v/>
      </c>
      <c r="J89" s="42" t="str">
        <f>IF($C89="","",VLOOKUP($C89,Roster[],2,0))</f>
        <v/>
      </c>
      <c r="K89" s="43" t="str">
        <f>IF($C89="","",VLOOKUP($C89,Roster[],5,0))</f>
        <v/>
      </c>
      <c r="L89" s="44" t="str">
        <f>IF($C89="","",VLOOKUP($C89,Roster[],6,0))</f>
        <v/>
      </c>
      <c r="M89" s="41" t="str">
        <f>IFERROR(IF((H89)="","",VLOOKUP(H89,Mode!$A$2:$B$5,2,FALSE)),"")</f>
        <v/>
      </c>
      <c r="N89" s="41"/>
      <c r="O89" s="45"/>
      <c r="P89" s="46"/>
    </row>
    <row r="90" spans="2:16" x14ac:dyDescent="0.2">
      <c r="B90" s="49"/>
      <c r="C90" s="71"/>
      <c r="D90" s="72"/>
      <c r="E90" s="41" t="str">
        <f>IF($C90="","",VLOOKUP($C90,Roster[],4,0))</f>
        <v/>
      </c>
      <c r="F90" s="41"/>
      <c r="G90" s="41"/>
      <c r="H90" s="41"/>
      <c r="I90" s="42" t="str">
        <f>IF($C90="","",VLOOKUP($C90,Roster[],7,0))</f>
        <v/>
      </c>
      <c r="J90" s="42" t="str">
        <f>IF($C90="","",VLOOKUP($C90,Roster[],2,0))</f>
        <v/>
      </c>
      <c r="K90" s="43" t="str">
        <f>IF($C90="","",VLOOKUP($C90,Roster[],5,0))</f>
        <v/>
      </c>
      <c r="L90" s="44" t="str">
        <f>IF($C90="","",VLOOKUP($C90,Roster[],6,0))</f>
        <v/>
      </c>
      <c r="M90" s="41" t="str">
        <f>IFERROR(IF((H90)="","",VLOOKUP(H90,Mode!$A$2:$B$5,2,FALSE)),"")</f>
        <v/>
      </c>
      <c r="N90" s="41"/>
      <c r="O90" s="45"/>
      <c r="P90" s="46"/>
    </row>
    <row r="91" spans="2:16" x14ac:dyDescent="0.2">
      <c r="B91" s="49"/>
      <c r="C91" s="71"/>
      <c r="D91" s="72"/>
      <c r="E91" s="41" t="str">
        <f>IF($C91="","",VLOOKUP($C91,Roster[],4,0))</f>
        <v/>
      </c>
      <c r="F91" s="41"/>
      <c r="G91" s="41"/>
      <c r="H91" s="41"/>
      <c r="I91" s="42" t="str">
        <f>IF($C91="","",VLOOKUP($C91,Roster[],7,0))</f>
        <v/>
      </c>
      <c r="J91" s="42" t="str">
        <f>IF($C91="","",VLOOKUP($C91,Roster[],2,0))</f>
        <v/>
      </c>
      <c r="K91" s="43" t="str">
        <f>IF($C91="","",VLOOKUP($C91,Roster[],5,0))</f>
        <v/>
      </c>
      <c r="L91" s="44" t="str">
        <f>IF($C91="","",VLOOKUP($C91,Roster[],6,0))</f>
        <v/>
      </c>
      <c r="M91" s="41" t="str">
        <f>IFERROR(IF((H91)="","",VLOOKUP(H91,Mode!$A$2:$B$5,2,FALSE)),"")</f>
        <v/>
      </c>
      <c r="N91" s="41"/>
      <c r="O91" s="45"/>
      <c r="P91" s="46"/>
    </row>
    <row r="92" spans="2:16" x14ac:dyDescent="0.2">
      <c r="B92" s="49"/>
      <c r="C92" s="71"/>
      <c r="D92" s="72"/>
      <c r="E92" s="41" t="str">
        <f>IF($C92="","",VLOOKUP($C92,Roster[],4,0))</f>
        <v/>
      </c>
      <c r="F92" s="41"/>
      <c r="G92" s="41"/>
      <c r="H92" s="41"/>
      <c r="I92" s="42" t="str">
        <f>IF($C92="","",VLOOKUP($C92,Roster[],7,0))</f>
        <v/>
      </c>
      <c r="J92" s="42" t="str">
        <f>IF($C92="","",VLOOKUP($C92,Roster[],2,0))</f>
        <v/>
      </c>
      <c r="K92" s="43" t="str">
        <f>IF($C92="","",VLOOKUP($C92,Roster[],5,0))</f>
        <v/>
      </c>
      <c r="L92" s="44" t="str">
        <f>IF($C92="","",VLOOKUP($C92,Roster[],6,0))</f>
        <v/>
      </c>
      <c r="M92" s="41" t="str">
        <f>IFERROR(IF((H92)="","",VLOOKUP(H92,Mode!$A$2:$B$5,2,FALSE)),"")</f>
        <v/>
      </c>
      <c r="N92" s="41"/>
      <c r="O92" s="45"/>
      <c r="P92" s="46"/>
    </row>
    <row r="93" spans="2:16" x14ac:dyDescent="0.2">
      <c r="B93" s="49"/>
      <c r="C93" s="71"/>
      <c r="D93" s="72"/>
      <c r="E93" s="41" t="str">
        <f>IF($C93="","",VLOOKUP($C93,Roster[],4,0))</f>
        <v/>
      </c>
      <c r="F93" s="41"/>
      <c r="G93" s="41"/>
      <c r="H93" s="41"/>
      <c r="I93" s="42" t="str">
        <f>IF($C93="","",VLOOKUP($C93,Roster[],7,0))</f>
        <v/>
      </c>
      <c r="J93" s="42" t="str">
        <f>IF($C93="","",VLOOKUP($C93,Roster[],2,0))</f>
        <v/>
      </c>
      <c r="K93" s="43" t="str">
        <f>IF($C93="","",VLOOKUP($C93,Roster[],5,0))</f>
        <v/>
      </c>
      <c r="L93" s="44" t="str">
        <f>IF($C93="","",VLOOKUP($C93,Roster[],6,0))</f>
        <v/>
      </c>
      <c r="M93" s="41" t="str">
        <f>IFERROR(IF((H93)="","",VLOOKUP(H93,Mode!$A$2:$B$5,2,FALSE)),"")</f>
        <v/>
      </c>
      <c r="N93" s="41"/>
      <c r="O93" s="45"/>
      <c r="P93" s="46"/>
    </row>
    <row r="94" spans="2:16" x14ac:dyDescent="0.2">
      <c r="B94" s="49"/>
      <c r="C94" s="71"/>
      <c r="D94" s="72"/>
      <c r="E94" s="41" t="str">
        <f>IF($C94="","",VLOOKUP($C94,Roster[],4,0))</f>
        <v/>
      </c>
      <c r="F94" s="41"/>
      <c r="G94" s="41"/>
      <c r="H94" s="41"/>
      <c r="I94" s="42" t="str">
        <f>IF($C94="","",VLOOKUP($C94,Roster[],7,0))</f>
        <v/>
      </c>
      <c r="J94" s="42" t="str">
        <f>IF($C94="","",VLOOKUP($C94,Roster[],2,0))</f>
        <v/>
      </c>
      <c r="K94" s="43" t="str">
        <f>IF($C94="","",VLOOKUP($C94,Roster[],5,0))</f>
        <v/>
      </c>
      <c r="L94" s="44" t="str">
        <f>IF($C94="","",VLOOKUP($C94,Roster[],6,0))</f>
        <v/>
      </c>
      <c r="M94" s="41" t="str">
        <f>IFERROR(IF((H94)="","",VLOOKUP(H94,Mode!$A$2:$B$5,2,FALSE)),"")</f>
        <v/>
      </c>
      <c r="N94" s="41"/>
      <c r="O94" s="45"/>
      <c r="P94" s="46"/>
    </row>
    <row r="95" spans="2:16" x14ac:dyDescent="0.2">
      <c r="B95" s="49"/>
      <c r="C95" s="71"/>
      <c r="D95" s="72"/>
      <c r="E95" s="41" t="str">
        <f>IF($C95="","",VLOOKUP($C95,Roster[],4,0))</f>
        <v/>
      </c>
      <c r="F95" s="41"/>
      <c r="G95" s="41"/>
      <c r="H95" s="41"/>
      <c r="I95" s="42" t="str">
        <f>IF($C95="","",VLOOKUP($C95,Roster[],7,0))</f>
        <v/>
      </c>
      <c r="J95" s="42" t="str">
        <f>IF($C95="","",VLOOKUP($C95,Roster[],2,0))</f>
        <v/>
      </c>
      <c r="K95" s="43" t="str">
        <f>IF($C95="","",VLOOKUP($C95,Roster[],5,0))</f>
        <v/>
      </c>
      <c r="L95" s="44" t="str">
        <f>IF($C95="","",VLOOKUP($C95,Roster[],6,0))</f>
        <v/>
      </c>
      <c r="M95" s="41" t="str">
        <f>IFERROR(IF((H95)="","",VLOOKUP(H95,Mode!$A$2:$B$5,2,FALSE)),"")</f>
        <v/>
      </c>
      <c r="N95" s="41"/>
      <c r="O95" s="45"/>
      <c r="P95" s="46"/>
    </row>
    <row r="96" spans="2:16" x14ac:dyDescent="0.2">
      <c r="B96" s="49"/>
      <c r="C96" s="71"/>
      <c r="D96" s="72"/>
      <c r="E96" s="41" t="str">
        <f>IF($C96="","",VLOOKUP($C96,Roster[],4,0))</f>
        <v/>
      </c>
      <c r="F96" s="41"/>
      <c r="G96" s="41"/>
      <c r="H96" s="41"/>
      <c r="I96" s="42" t="str">
        <f>IF($C96="","",VLOOKUP($C96,Roster[],7,0))</f>
        <v/>
      </c>
      <c r="J96" s="42" t="str">
        <f>IF($C96="","",VLOOKUP($C96,Roster[],2,0))</f>
        <v/>
      </c>
      <c r="K96" s="43" t="str">
        <f>IF($C96="","",VLOOKUP($C96,Roster[],5,0))</f>
        <v/>
      </c>
      <c r="L96" s="44" t="str">
        <f>IF($C96="","",VLOOKUP($C96,Roster[],6,0))</f>
        <v/>
      </c>
      <c r="M96" s="41" t="str">
        <f>IFERROR(IF((H96)="","",VLOOKUP(H96,Mode!$A$2:$B$5,2,FALSE)),"")</f>
        <v/>
      </c>
      <c r="N96" s="41"/>
      <c r="O96" s="45"/>
      <c r="P96" s="46"/>
    </row>
    <row r="97" spans="2:16" x14ac:dyDescent="0.2">
      <c r="B97" s="49"/>
      <c r="C97" s="71"/>
      <c r="D97" s="72"/>
      <c r="E97" s="41" t="str">
        <f>IF($C97="","",VLOOKUP($C97,Roster[],4,0))</f>
        <v/>
      </c>
      <c r="F97" s="41"/>
      <c r="G97" s="41"/>
      <c r="H97" s="41"/>
      <c r="I97" s="42" t="str">
        <f>IF($C97="","",VLOOKUP($C97,Roster[],7,0))</f>
        <v/>
      </c>
      <c r="J97" s="42" t="str">
        <f>IF($C97="","",VLOOKUP($C97,Roster[],2,0))</f>
        <v/>
      </c>
      <c r="K97" s="43" t="str">
        <f>IF($C97="","",VLOOKUP($C97,Roster[],5,0))</f>
        <v/>
      </c>
      <c r="L97" s="44" t="str">
        <f>IF($C97="","",VLOOKUP($C97,Roster[],6,0))</f>
        <v/>
      </c>
      <c r="M97" s="41" t="str">
        <f>IFERROR(IF((H97)="","",VLOOKUP(H97,Mode!$A$2:$B$5,2,FALSE)),"")</f>
        <v/>
      </c>
      <c r="N97" s="41"/>
      <c r="O97" s="45"/>
      <c r="P97" s="46"/>
    </row>
    <row r="98" spans="2:16" x14ac:dyDescent="0.2">
      <c r="B98" s="49"/>
      <c r="C98" s="71"/>
      <c r="D98" s="72"/>
      <c r="E98" s="41" t="str">
        <f>IF($C98="","",VLOOKUP($C98,Roster[],4,0))</f>
        <v/>
      </c>
      <c r="F98" s="41"/>
      <c r="G98" s="41"/>
      <c r="H98" s="41"/>
      <c r="I98" s="42" t="str">
        <f>IF($C98="","",VLOOKUP($C98,Roster[],7,0))</f>
        <v/>
      </c>
      <c r="J98" s="42" t="str">
        <f>IF($C98="","",VLOOKUP($C98,Roster[],2,0))</f>
        <v/>
      </c>
      <c r="K98" s="43" t="str">
        <f>IF($C98="","",VLOOKUP($C98,Roster[],5,0))</f>
        <v/>
      </c>
      <c r="L98" s="44" t="str">
        <f>IF($C98="","",VLOOKUP($C98,Roster[],6,0))</f>
        <v/>
      </c>
      <c r="M98" s="41" t="str">
        <f>IFERROR(IF((H98)="","",VLOOKUP(H98,Mode!$A$2:$B$5,2,FALSE)),"")</f>
        <v/>
      </c>
      <c r="N98" s="41"/>
      <c r="O98" s="45"/>
      <c r="P98" s="46"/>
    </row>
    <row r="99" spans="2:16" x14ac:dyDescent="0.2">
      <c r="B99" s="49"/>
      <c r="C99" s="71"/>
      <c r="D99" s="72"/>
      <c r="E99" s="41" t="str">
        <f>IF($C99="","",VLOOKUP($C99,Roster[],4,0))</f>
        <v/>
      </c>
      <c r="F99" s="41"/>
      <c r="G99" s="41"/>
      <c r="H99" s="41"/>
      <c r="I99" s="42" t="str">
        <f>IF($C99="","",VLOOKUP($C99,Roster[],7,0))</f>
        <v/>
      </c>
      <c r="J99" s="42" t="str">
        <f>IF($C99="","",VLOOKUP($C99,Roster[],2,0))</f>
        <v/>
      </c>
      <c r="K99" s="43" t="str">
        <f>IF($C99="","",VLOOKUP($C99,Roster[],5,0))</f>
        <v/>
      </c>
      <c r="L99" s="44" t="str">
        <f>IF($C99="","",VLOOKUP($C99,Roster[],6,0))</f>
        <v/>
      </c>
      <c r="M99" s="41" t="str">
        <f>IFERROR(IF((H99)="","",VLOOKUP(H99,Mode!$A$2:$B$5,2,FALSE)),"")</f>
        <v/>
      </c>
      <c r="N99" s="41"/>
      <c r="O99" s="45"/>
      <c r="P99" s="46"/>
    </row>
    <row r="100" spans="2:16" x14ac:dyDescent="0.2">
      <c r="B100" s="49"/>
      <c r="C100" s="71"/>
      <c r="D100" s="72"/>
      <c r="E100" s="41" t="str">
        <f>IF($C100="","",VLOOKUP($C100,Roster[],4,0))</f>
        <v/>
      </c>
      <c r="F100" s="41"/>
      <c r="G100" s="41"/>
      <c r="H100" s="41"/>
      <c r="I100" s="42" t="str">
        <f>IF($C100="","",VLOOKUP($C100,Roster[],7,0))</f>
        <v/>
      </c>
      <c r="J100" s="42" t="str">
        <f>IF($C100="","",VLOOKUP($C100,Roster[],2,0))</f>
        <v/>
      </c>
      <c r="K100" s="43" t="str">
        <f>IF($C100="","",VLOOKUP($C100,Roster[],5,0))</f>
        <v/>
      </c>
      <c r="L100" s="44" t="str">
        <f>IF($C100="","",VLOOKUP($C100,Roster[],6,0))</f>
        <v/>
      </c>
      <c r="M100" s="41" t="str">
        <f>IFERROR(IF((H100)="","",VLOOKUP(H100,Mode!$A$2:$B$5,2,FALSE)),"")</f>
        <v/>
      </c>
      <c r="N100" s="41"/>
      <c r="O100" s="45"/>
      <c r="P100" s="46"/>
    </row>
    <row r="101" spans="2:16" x14ac:dyDescent="0.2">
      <c r="B101" s="49"/>
      <c r="C101" s="71"/>
      <c r="D101" s="72"/>
      <c r="E101" s="41" t="str">
        <f>IF($C101="","",VLOOKUP($C101,Roster[],4,0))</f>
        <v/>
      </c>
      <c r="F101" s="41"/>
      <c r="G101" s="41"/>
      <c r="H101" s="41"/>
      <c r="I101" s="42" t="str">
        <f>IF($C101="","",VLOOKUP($C101,Roster[],7,0))</f>
        <v/>
      </c>
      <c r="J101" s="42" t="str">
        <f>IF($C101="","",VLOOKUP($C101,Roster[],2,0))</f>
        <v/>
      </c>
      <c r="K101" s="43" t="str">
        <f>IF($C101="","",VLOOKUP($C101,Roster[],5,0))</f>
        <v/>
      </c>
      <c r="L101" s="44" t="str">
        <f>IF($C101="","",VLOOKUP($C101,Roster[],6,0))</f>
        <v/>
      </c>
      <c r="M101" s="41" t="str">
        <f>IFERROR(IF((H101)="","",VLOOKUP(H101,Mode!$A$2:$B$5,2,FALSE)),"")</f>
        <v/>
      </c>
      <c r="N101" s="41"/>
      <c r="O101" s="45"/>
      <c r="P101" s="46"/>
    </row>
    <row r="102" spans="2:16" x14ac:dyDescent="0.2">
      <c r="B102" s="49"/>
      <c r="C102" s="71"/>
      <c r="D102" s="72"/>
      <c r="E102" s="41" t="str">
        <f>IF($C102="","",VLOOKUP($C102,Roster[],4,0))</f>
        <v/>
      </c>
      <c r="F102" s="41"/>
      <c r="G102" s="41"/>
      <c r="H102" s="41"/>
      <c r="I102" s="42" t="str">
        <f>IF($C102="","",VLOOKUP($C102,Roster[],7,0))</f>
        <v/>
      </c>
      <c r="J102" s="42" t="str">
        <f>IF($C102="","",VLOOKUP($C102,Roster[],2,0))</f>
        <v/>
      </c>
      <c r="K102" s="43" t="str">
        <f>IF($C102="","",VLOOKUP($C102,Roster[],5,0))</f>
        <v/>
      </c>
      <c r="L102" s="44" t="str">
        <f>IF($C102="","",VLOOKUP($C102,Roster[],6,0))</f>
        <v/>
      </c>
      <c r="M102" s="41" t="str">
        <f>IFERROR(IF((H102)="","",VLOOKUP(H102,Mode!$A$2:$B$5,2,FALSE)),"")</f>
        <v/>
      </c>
      <c r="N102" s="41"/>
      <c r="O102" s="45"/>
      <c r="P102" s="46"/>
    </row>
    <row r="103" spans="2:16" x14ac:dyDescent="0.2">
      <c r="B103" s="49"/>
      <c r="C103" s="71"/>
      <c r="D103" s="72"/>
      <c r="E103" s="41" t="str">
        <f>IF($C103="","",VLOOKUP($C103,Roster[],4,0))</f>
        <v/>
      </c>
      <c r="F103" s="41"/>
      <c r="G103" s="41"/>
      <c r="H103" s="41"/>
      <c r="I103" s="42" t="str">
        <f>IF($C103="","",VLOOKUP($C103,Roster[],7,0))</f>
        <v/>
      </c>
      <c r="J103" s="42" t="str">
        <f>IF($C103="","",VLOOKUP($C103,Roster[],2,0))</f>
        <v/>
      </c>
      <c r="K103" s="43" t="str">
        <f>IF($C103="","",VLOOKUP($C103,Roster[],5,0))</f>
        <v/>
      </c>
      <c r="L103" s="44" t="str">
        <f>IF($C103="","",VLOOKUP($C103,Roster[],6,0))</f>
        <v/>
      </c>
      <c r="M103" s="41" t="str">
        <f>IFERROR(IF((H103)="","",VLOOKUP(H103,Mode!$A$2:$B$5,2,FALSE)),"")</f>
        <v/>
      </c>
      <c r="N103" s="41"/>
      <c r="O103" s="45"/>
      <c r="P103" s="46"/>
    </row>
    <row r="104" spans="2:16" x14ac:dyDescent="0.2">
      <c r="B104" s="49"/>
      <c r="C104" s="71"/>
      <c r="D104" s="72"/>
      <c r="E104" s="41" t="str">
        <f>IF($C104="","",VLOOKUP($C104,Roster[],4,0))</f>
        <v/>
      </c>
      <c r="F104" s="41"/>
      <c r="G104" s="41"/>
      <c r="H104" s="41"/>
      <c r="I104" s="42" t="str">
        <f>IF($C104="","",VLOOKUP($C104,Roster[],7,0))</f>
        <v/>
      </c>
      <c r="J104" s="42" t="str">
        <f>IF($C104="","",VLOOKUP($C104,Roster[],2,0))</f>
        <v/>
      </c>
      <c r="K104" s="43" t="str">
        <f>IF($C104="","",VLOOKUP($C104,Roster[],5,0))</f>
        <v/>
      </c>
      <c r="L104" s="44" t="str">
        <f>IF($C104="","",VLOOKUP($C104,Roster[],6,0))</f>
        <v/>
      </c>
      <c r="M104" s="41" t="str">
        <f>IFERROR(IF((H104)="","",VLOOKUP(H104,Mode!$A$2:$B$5,2,FALSE)),"")</f>
        <v/>
      </c>
      <c r="N104" s="41"/>
      <c r="O104" s="45"/>
      <c r="P104" s="46"/>
    </row>
    <row r="105" spans="2:16" x14ac:dyDescent="0.2">
      <c r="B105" s="49"/>
      <c r="C105" s="71"/>
      <c r="D105" s="72"/>
      <c r="E105" s="41" t="str">
        <f>IF($C105="","",VLOOKUP($C105,Roster[],4,0))</f>
        <v/>
      </c>
      <c r="F105" s="41"/>
      <c r="G105" s="41"/>
      <c r="H105" s="41"/>
      <c r="I105" s="42" t="str">
        <f>IF($C105="","",VLOOKUP($C105,Roster[],7,0))</f>
        <v/>
      </c>
      <c r="J105" s="42" t="str">
        <f>IF($C105="","",VLOOKUP($C105,Roster[],2,0))</f>
        <v/>
      </c>
      <c r="K105" s="43" t="str">
        <f>IF($C105="","",VLOOKUP($C105,Roster[],5,0))</f>
        <v/>
      </c>
      <c r="L105" s="44" t="str">
        <f>IF($C105="","",VLOOKUP($C105,Roster[],6,0))</f>
        <v/>
      </c>
      <c r="M105" s="41" t="str">
        <f>IFERROR(IF((H105)="","",VLOOKUP(H105,Mode!$A$2:$B$5,2,FALSE)),"")</f>
        <v/>
      </c>
      <c r="N105" s="41"/>
      <c r="O105" s="45"/>
      <c r="P105" s="46"/>
    </row>
    <row r="106" spans="2:16" x14ac:dyDescent="0.2">
      <c r="B106" s="49"/>
      <c r="C106" s="71"/>
      <c r="D106" s="72"/>
      <c r="E106" s="41" t="str">
        <f>IF($C106="","",VLOOKUP($C106,Roster[],4,0))</f>
        <v/>
      </c>
      <c r="F106" s="41"/>
      <c r="G106" s="41"/>
      <c r="H106" s="41"/>
      <c r="I106" s="42" t="str">
        <f>IF($C106="","",VLOOKUP($C106,Roster[],7,0))</f>
        <v/>
      </c>
      <c r="J106" s="42" t="str">
        <f>IF($C106="","",VLOOKUP($C106,Roster[],2,0))</f>
        <v/>
      </c>
      <c r="K106" s="43" t="str">
        <f>IF($C106="","",VLOOKUP($C106,Roster[],5,0))</f>
        <v/>
      </c>
      <c r="L106" s="44" t="str">
        <f>IF($C106="","",VLOOKUP($C106,Roster[],6,0))</f>
        <v/>
      </c>
      <c r="M106" s="41" t="str">
        <f>IFERROR(IF((H106)="","",VLOOKUP(H106,Mode!$A$2:$B$5,2,FALSE)),"")</f>
        <v/>
      </c>
      <c r="N106" s="41"/>
      <c r="O106" s="45"/>
      <c r="P106" s="46"/>
    </row>
    <row r="107" spans="2:16" x14ac:dyDescent="0.2">
      <c r="B107" s="49"/>
      <c r="C107" s="71"/>
      <c r="D107" s="72"/>
      <c r="E107" s="41" t="str">
        <f>IF($C107="","",VLOOKUP($C107,Roster[],4,0))</f>
        <v/>
      </c>
      <c r="F107" s="41"/>
      <c r="G107" s="41"/>
      <c r="H107" s="41"/>
      <c r="I107" s="42" t="str">
        <f>IF($C107="","",VLOOKUP($C107,Roster[],7,0))</f>
        <v/>
      </c>
      <c r="J107" s="42" t="str">
        <f>IF($C107="","",VLOOKUP($C107,Roster[],2,0))</f>
        <v/>
      </c>
      <c r="K107" s="43" t="str">
        <f>IF($C107="","",VLOOKUP($C107,Roster[],5,0))</f>
        <v/>
      </c>
      <c r="L107" s="44" t="str">
        <f>IF($C107="","",VLOOKUP($C107,Roster[],6,0))</f>
        <v/>
      </c>
      <c r="M107" s="41" t="str">
        <f>IFERROR(IF((H107)="","",VLOOKUP(H107,Mode!$A$2:$B$5,2,FALSE)),"")</f>
        <v/>
      </c>
      <c r="N107" s="41"/>
      <c r="O107" s="45"/>
      <c r="P107" s="46"/>
    </row>
    <row r="108" spans="2:16" x14ac:dyDescent="0.2">
      <c r="B108" s="49"/>
      <c r="C108" s="71"/>
      <c r="D108" s="72"/>
      <c r="E108" s="41" t="str">
        <f>IF($C108="","",VLOOKUP($C108,Roster[],4,0))</f>
        <v/>
      </c>
      <c r="F108" s="41"/>
      <c r="G108" s="41"/>
      <c r="H108" s="41"/>
      <c r="I108" s="42" t="str">
        <f>IF($C108="","",VLOOKUP($C108,Roster[],7,0))</f>
        <v/>
      </c>
      <c r="J108" s="42" t="str">
        <f>IF($C108="","",VLOOKUP($C108,Roster[],2,0))</f>
        <v/>
      </c>
      <c r="K108" s="43" t="str">
        <f>IF($C108="","",VLOOKUP($C108,Roster[],5,0))</f>
        <v/>
      </c>
      <c r="L108" s="44" t="str">
        <f>IF($C108="","",VLOOKUP($C108,Roster[],6,0))</f>
        <v/>
      </c>
      <c r="M108" s="41" t="str">
        <f>IFERROR(IF((H108)="","",VLOOKUP(H108,Mode!$A$2:$B$5,2,FALSE)),"")</f>
        <v/>
      </c>
      <c r="N108" s="41"/>
      <c r="O108" s="45"/>
      <c r="P108" s="46"/>
    </row>
    <row r="109" spans="2:16" x14ac:dyDescent="0.2">
      <c r="B109" s="49"/>
      <c r="C109" s="71"/>
      <c r="D109" s="72"/>
      <c r="E109" s="41" t="str">
        <f>IF($C109="","",VLOOKUP($C109,Roster[],4,0))</f>
        <v/>
      </c>
      <c r="F109" s="41"/>
      <c r="G109" s="41"/>
      <c r="H109" s="41"/>
      <c r="I109" s="42" t="str">
        <f>IF($C109="","",VLOOKUP($C109,Roster[],7,0))</f>
        <v/>
      </c>
      <c r="J109" s="42" t="str">
        <f>IF($C109="","",VLOOKUP($C109,Roster[],2,0))</f>
        <v/>
      </c>
      <c r="K109" s="43" t="str">
        <f>IF($C109="","",VLOOKUP($C109,Roster[],5,0))</f>
        <v/>
      </c>
      <c r="L109" s="44" t="str">
        <f>IF($C109="","",VLOOKUP($C109,Roster[],6,0))</f>
        <v/>
      </c>
      <c r="M109" s="41" t="str">
        <f>IFERROR(IF((H109)="","",VLOOKUP(H109,Mode!$A$2:$B$5,2,FALSE)),"")</f>
        <v/>
      </c>
      <c r="N109" s="41"/>
      <c r="O109" s="45"/>
      <c r="P109" s="46"/>
    </row>
    <row r="110" spans="2:16" x14ac:dyDescent="0.2">
      <c r="B110" s="49"/>
      <c r="C110" s="71"/>
      <c r="D110" s="72"/>
      <c r="E110" s="41" t="str">
        <f>IF($C110="","",VLOOKUP($C110,Roster[],4,0))</f>
        <v/>
      </c>
      <c r="F110" s="41"/>
      <c r="G110" s="41"/>
      <c r="H110" s="41"/>
      <c r="I110" s="42" t="str">
        <f>IF($C110="","",VLOOKUP($C110,Roster[],7,0))</f>
        <v/>
      </c>
      <c r="J110" s="42" t="str">
        <f>IF($C110="","",VLOOKUP($C110,Roster[],2,0))</f>
        <v/>
      </c>
      <c r="K110" s="43" t="str">
        <f>IF($C110="","",VLOOKUP($C110,Roster[],5,0))</f>
        <v/>
      </c>
      <c r="L110" s="44" t="str">
        <f>IF($C110="","",VLOOKUP($C110,Roster[],6,0))</f>
        <v/>
      </c>
      <c r="M110" s="41" t="str">
        <f>IFERROR(IF((H110)="","",VLOOKUP(H110,Mode!$A$2:$B$5,2,FALSE)),"")</f>
        <v/>
      </c>
      <c r="N110" s="41"/>
      <c r="O110" s="45"/>
      <c r="P110" s="46"/>
    </row>
    <row r="111" spans="2:16" x14ac:dyDescent="0.2">
      <c r="B111" s="49"/>
      <c r="C111" s="71"/>
      <c r="D111" s="72"/>
      <c r="E111" s="41" t="str">
        <f>IF($C111="","",VLOOKUP($C111,Roster[],4,0))</f>
        <v/>
      </c>
      <c r="F111" s="41"/>
      <c r="G111" s="41"/>
      <c r="H111" s="41"/>
      <c r="I111" s="42" t="str">
        <f>IF($C111="","",VLOOKUP($C111,Roster[],7,0))</f>
        <v/>
      </c>
      <c r="J111" s="42" t="str">
        <f>IF($C111="","",VLOOKUP($C111,Roster[],2,0))</f>
        <v/>
      </c>
      <c r="K111" s="43" t="str">
        <f>IF($C111="","",VLOOKUP($C111,Roster[],5,0))</f>
        <v/>
      </c>
      <c r="L111" s="44" t="str">
        <f>IF($C111="","",VLOOKUP($C111,Roster[],6,0))</f>
        <v/>
      </c>
      <c r="M111" s="41" t="str">
        <f>IFERROR(IF((H111)="","",VLOOKUP(H111,Mode!$A$2:$B$5,2,FALSE)),"")</f>
        <v/>
      </c>
      <c r="N111" s="41"/>
      <c r="O111" s="45"/>
      <c r="P111" s="46"/>
    </row>
    <row r="112" spans="2:16" x14ac:dyDescent="0.2">
      <c r="B112" s="49"/>
      <c r="C112" s="71"/>
      <c r="D112" s="72"/>
      <c r="E112" s="41" t="str">
        <f>IF($C112="","",VLOOKUP($C112,Roster[],4,0))</f>
        <v/>
      </c>
      <c r="F112" s="41"/>
      <c r="G112" s="41"/>
      <c r="H112" s="41"/>
      <c r="I112" s="42" t="str">
        <f>IF($C112="","",VLOOKUP($C112,Roster[],7,0))</f>
        <v/>
      </c>
      <c r="J112" s="42" t="str">
        <f>IF($C112="","",VLOOKUP($C112,Roster[],2,0))</f>
        <v/>
      </c>
      <c r="K112" s="43" t="str">
        <f>IF($C112="","",VLOOKUP($C112,Roster[],5,0))</f>
        <v/>
      </c>
      <c r="L112" s="44" t="str">
        <f>IF($C112="","",VLOOKUP($C112,Roster[],6,0))</f>
        <v/>
      </c>
      <c r="M112" s="41" t="str">
        <f>IFERROR(IF((H112)="","",VLOOKUP(H112,Mode!$A$2:$B$5,2,FALSE)),"")</f>
        <v/>
      </c>
      <c r="N112" s="41"/>
      <c r="O112" s="45"/>
      <c r="P112" s="46"/>
    </row>
    <row r="113" spans="2:16" x14ac:dyDescent="0.2">
      <c r="B113" s="49"/>
      <c r="C113" s="71"/>
      <c r="D113" s="72"/>
      <c r="E113" s="41" t="str">
        <f>IF($C113="","",VLOOKUP($C113,Roster[],4,0))</f>
        <v/>
      </c>
      <c r="F113" s="41"/>
      <c r="G113" s="41"/>
      <c r="H113" s="41"/>
      <c r="I113" s="42" t="str">
        <f>IF($C113="","",VLOOKUP($C113,Roster[],7,0))</f>
        <v/>
      </c>
      <c r="J113" s="42" t="str">
        <f>IF($C113="","",VLOOKUP($C113,Roster[],2,0))</f>
        <v/>
      </c>
      <c r="K113" s="43" t="str">
        <f>IF($C113="","",VLOOKUP($C113,Roster[],5,0))</f>
        <v/>
      </c>
      <c r="L113" s="44" t="str">
        <f>IF($C113="","",VLOOKUP($C113,Roster[],6,0))</f>
        <v/>
      </c>
      <c r="M113" s="41" t="str">
        <f>IFERROR(IF((H113)="","",VLOOKUP(H113,Mode!$A$2:$B$5,2,FALSE)),"")</f>
        <v/>
      </c>
      <c r="N113" s="41"/>
      <c r="O113" s="45"/>
      <c r="P113" s="46"/>
    </row>
    <row r="114" spans="2:16" x14ac:dyDescent="0.2">
      <c r="B114" s="49"/>
      <c r="C114" s="71"/>
      <c r="D114" s="72"/>
      <c r="E114" s="41" t="str">
        <f>IF($C114="","",VLOOKUP($C114,Roster[],4,0))</f>
        <v/>
      </c>
      <c r="F114" s="41"/>
      <c r="G114" s="41"/>
      <c r="H114" s="41"/>
      <c r="I114" s="42" t="str">
        <f>IF($C114="","",VLOOKUP($C114,Roster[],7,0))</f>
        <v/>
      </c>
      <c r="J114" s="42" t="str">
        <f>IF($C114="","",VLOOKUP($C114,Roster[],2,0))</f>
        <v/>
      </c>
      <c r="K114" s="43" t="str">
        <f>IF($C114="","",VLOOKUP($C114,Roster[],5,0))</f>
        <v/>
      </c>
      <c r="L114" s="44" t="str">
        <f>IF($C114="","",VLOOKUP($C114,Roster[],6,0))</f>
        <v/>
      </c>
      <c r="M114" s="41" t="str">
        <f>IFERROR(IF((H114)="","",VLOOKUP(H114,Mode!$A$2:$B$5,2,FALSE)),"")</f>
        <v/>
      </c>
      <c r="N114" s="41"/>
      <c r="O114" s="45"/>
      <c r="P114" s="46"/>
    </row>
    <row r="115" spans="2:16" x14ac:dyDescent="0.2">
      <c r="B115" s="49"/>
      <c r="C115" s="71"/>
      <c r="D115" s="72"/>
      <c r="E115" s="41" t="str">
        <f>IF($C115="","",VLOOKUP($C115,Roster[],4,0))</f>
        <v/>
      </c>
      <c r="F115" s="41"/>
      <c r="G115" s="41"/>
      <c r="H115" s="41"/>
      <c r="I115" s="42" t="str">
        <f>IF($C115="","",VLOOKUP($C115,Roster[],7,0))</f>
        <v/>
      </c>
      <c r="J115" s="42" t="str">
        <f>IF($C115="","",VLOOKUP($C115,Roster[],2,0))</f>
        <v/>
      </c>
      <c r="K115" s="43" t="str">
        <f>IF($C115="","",VLOOKUP($C115,Roster[],5,0))</f>
        <v/>
      </c>
      <c r="L115" s="44" t="str">
        <f>IF($C115="","",VLOOKUP($C115,Roster[],6,0))</f>
        <v/>
      </c>
      <c r="M115" s="41" t="str">
        <f>IFERROR(IF((H115)="","",VLOOKUP(H115,Mode!$A$2:$B$5,2,FALSE)),"")</f>
        <v/>
      </c>
      <c r="N115" s="41"/>
      <c r="O115" s="45"/>
      <c r="P115" s="46"/>
    </row>
    <row r="116" spans="2:16" x14ac:dyDescent="0.2">
      <c r="B116" s="49"/>
      <c r="C116" s="71"/>
      <c r="D116" s="72"/>
      <c r="E116" s="41" t="str">
        <f>IF($C116="","",VLOOKUP($C116,Roster[],4,0))</f>
        <v/>
      </c>
      <c r="F116" s="41"/>
      <c r="G116" s="41"/>
      <c r="H116" s="41"/>
      <c r="I116" s="42" t="str">
        <f>IF($C116="","",VLOOKUP($C116,Roster[],7,0))</f>
        <v/>
      </c>
      <c r="J116" s="42" t="str">
        <f>IF($C116="","",VLOOKUP($C116,Roster[],2,0))</f>
        <v/>
      </c>
      <c r="K116" s="43" t="str">
        <f>IF($C116="","",VLOOKUP($C116,Roster[],5,0))</f>
        <v/>
      </c>
      <c r="L116" s="44" t="str">
        <f>IF($C116="","",VLOOKUP($C116,Roster[],6,0))</f>
        <v/>
      </c>
      <c r="M116" s="41" t="str">
        <f>IFERROR(IF((H116)="","",VLOOKUP(H116,Mode!$A$2:$B$5,2,FALSE)),"")</f>
        <v/>
      </c>
      <c r="N116" s="41"/>
      <c r="O116" s="45"/>
      <c r="P116" s="46"/>
    </row>
    <row r="117" spans="2:16" x14ac:dyDescent="0.2">
      <c r="B117" s="49"/>
      <c r="C117" s="71"/>
      <c r="D117" s="72"/>
      <c r="E117" s="41" t="str">
        <f>IF($C117="","",VLOOKUP($C117,Roster[],4,0))</f>
        <v/>
      </c>
      <c r="F117" s="41"/>
      <c r="G117" s="41"/>
      <c r="H117" s="41"/>
      <c r="I117" s="42" t="str">
        <f>IF($C117="","",VLOOKUP($C117,Roster[],7,0))</f>
        <v/>
      </c>
      <c r="J117" s="42" t="str">
        <f>IF($C117="","",VLOOKUP($C117,Roster[],2,0))</f>
        <v/>
      </c>
      <c r="K117" s="43" t="str">
        <f>IF($C117="","",VLOOKUP($C117,Roster[],5,0))</f>
        <v/>
      </c>
      <c r="L117" s="44" t="str">
        <f>IF($C117="","",VLOOKUP($C117,Roster[],6,0))</f>
        <v/>
      </c>
      <c r="M117" s="41" t="str">
        <f>IFERROR(IF((H117)="","",VLOOKUP(H117,Mode!$A$2:$B$5,2,FALSE)),"")</f>
        <v/>
      </c>
      <c r="N117" s="41"/>
      <c r="O117" s="45"/>
      <c r="P117" s="46"/>
    </row>
    <row r="118" spans="2:16" x14ac:dyDescent="0.2">
      <c r="B118" s="49"/>
      <c r="C118" s="71"/>
      <c r="D118" s="72"/>
      <c r="E118" s="41" t="str">
        <f>IF($C118="","",VLOOKUP($C118,Roster[],4,0))</f>
        <v/>
      </c>
      <c r="F118" s="41"/>
      <c r="G118" s="41"/>
      <c r="H118" s="41"/>
      <c r="I118" s="42" t="str">
        <f>IF($C118="","",VLOOKUP($C118,Roster[],7,0))</f>
        <v/>
      </c>
      <c r="J118" s="42" t="str">
        <f>IF($C118="","",VLOOKUP($C118,Roster[],2,0))</f>
        <v/>
      </c>
      <c r="K118" s="43" t="str">
        <f>IF($C118="","",VLOOKUP($C118,Roster[],5,0))</f>
        <v/>
      </c>
      <c r="L118" s="44" t="str">
        <f>IF($C118="","",VLOOKUP($C118,Roster[],6,0))</f>
        <v/>
      </c>
      <c r="M118" s="41" t="str">
        <f>IFERROR(IF((H118)="","",VLOOKUP(H118,Mode!$A$2:$B$5,2,FALSE)),"")</f>
        <v/>
      </c>
      <c r="N118" s="41"/>
      <c r="O118" s="45"/>
      <c r="P118" s="46"/>
    </row>
    <row r="119" spans="2:16" x14ac:dyDescent="0.2">
      <c r="B119" s="49"/>
      <c r="C119" s="71"/>
      <c r="D119" s="72"/>
      <c r="E119" s="41" t="str">
        <f>IF($C119="","",VLOOKUP($C119,Roster[],4,0))</f>
        <v/>
      </c>
      <c r="F119" s="41"/>
      <c r="G119" s="41"/>
      <c r="H119" s="41"/>
      <c r="I119" s="42" t="str">
        <f>IF($C119="","",VLOOKUP($C119,Roster[],7,0))</f>
        <v/>
      </c>
      <c r="J119" s="42" t="str">
        <f>IF($C119="","",VLOOKUP($C119,Roster[],2,0))</f>
        <v/>
      </c>
      <c r="K119" s="43" t="str">
        <f>IF($C119="","",VLOOKUP($C119,Roster[],5,0))</f>
        <v/>
      </c>
      <c r="L119" s="44" t="str">
        <f>IF($C119="","",VLOOKUP($C119,Roster[],6,0))</f>
        <v/>
      </c>
      <c r="M119" s="41" t="str">
        <f>IFERROR(IF((H119)="","",VLOOKUP(H119,Mode!$A$2:$B$5,2,FALSE)),"")</f>
        <v/>
      </c>
      <c r="N119" s="41"/>
      <c r="O119" s="45"/>
      <c r="P119" s="46"/>
    </row>
    <row r="120" spans="2:16" x14ac:dyDescent="0.2">
      <c r="B120" s="48"/>
      <c r="C120" s="71"/>
      <c r="D120" s="72"/>
      <c r="E120" s="41" t="str">
        <f>IF($C120="","",VLOOKUP($C120,Roster[],4,0))</f>
        <v/>
      </c>
      <c r="F120" s="41"/>
      <c r="G120" s="41"/>
      <c r="H120" s="41"/>
      <c r="I120" s="42" t="str">
        <f>IF($C120="","",VLOOKUP($C120,Roster[],7,0))</f>
        <v/>
      </c>
      <c r="J120" s="42" t="str">
        <f>IF($C120="","",VLOOKUP($C120,Roster[],2,0))</f>
        <v/>
      </c>
      <c r="K120" s="43" t="str">
        <f>IF($C120="","",VLOOKUP($C120,Roster[],5,0))</f>
        <v/>
      </c>
      <c r="L120" s="44" t="str">
        <f>IF($C120="","",VLOOKUP($C120,Roster[],6,0))</f>
        <v/>
      </c>
      <c r="M120" s="41" t="str">
        <f>IFERROR(IF((H120)="","",VLOOKUP(H120,Mode!$A$2:$B$5,2,FALSE)),"")</f>
        <v/>
      </c>
      <c r="N120" s="41"/>
      <c r="O120" s="45"/>
      <c r="P120" s="46"/>
    </row>
    <row r="121" spans="2:16" ht="13.5" thickBot="1" x14ac:dyDescent="0.25">
      <c r="B121" s="50"/>
      <c r="C121" s="51"/>
      <c r="D121" s="52"/>
      <c r="E121" s="53" t="str">
        <f>IF($C121="","",VLOOKUP($C121,Roster[],4,0))</f>
        <v/>
      </c>
      <c r="F121" s="53"/>
      <c r="G121" s="53"/>
      <c r="H121" s="53"/>
      <c r="I121" s="54" t="str">
        <f>IF($C121="","",VLOOKUP($C121,Roster[],7,0))</f>
        <v/>
      </c>
      <c r="J121" s="54" t="str">
        <f>IF($C121="","",VLOOKUP($C121,Roster[],2,0))</f>
        <v/>
      </c>
      <c r="K121" s="55" t="str">
        <f>IF($C121="","",VLOOKUP($C121,Roster[],5,0))</f>
        <v/>
      </c>
      <c r="L121" s="56" t="str">
        <f>IF($C121="","",VLOOKUP($C121,Roster[],6,0))</f>
        <v/>
      </c>
      <c r="M121" s="53" t="str">
        <f>IFERROR(IF((H121)="","",VLOOKUP(H121,Mode!$A$2:$B$5,2,FALSE)),"")</f>
        <v/>
      </c>
      <c r="N121" s="53"/>
      <c r="O121" s="57"/>
      <c r="P121" s="58"/>
    </row>
  </sheetData>
  <sheetProtection password="CC19" sheet="1" objects="1" scenarios="1" selectLockedCells="1"/>
  <mergeCells count="115"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C97:D97"/>
    <mergeCell ref="C98:D98"/>
    <mergeCell ref="C99:D99"/>
    <mergeCell ref="C100:D100"/>
    <mergeCell ref="C101:D101"/>
    <mergeCell ref="C102:D102"/>
    <mergeCell ref="C91:D91"/>
    <mergeCell ref="C92:D92"/>
    <mergeCell ref="C93:D93"/>
    <mergeCell ref="C94:D94"/>
    <mergeCell ref="C95:D95"/>
    <mergeCell ref="C96:D96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C73:D73"/>
    <mergeCell ref="C74:D74"/>
    <mergeCell ref="C75:D75"/>
    <mergeCell ref="C76:D76"/>
    <mergeCell ref="C77:D77"/>
    <mergeCell ref="C78:D78"/>
    <mergeCell ref="C67:D67"/>
    <mergeCell ref="C68:D68"/>
    <mergeCell ref="C69:D69"/>
    <mergeCell ref="C70:D70"/>
    <mergeCell ref="C71:D71"/>
    <mergeCell ref="C72:D72"/>
    <mergeCell ref="C61:D61"/>
    <mergeCell ref="C62:D62"/>
    <mergeCell ref="C63:D63"/>
    <mergeCell ref="C64:D64"/>
    <mergeCell ref="C65:D65"/>
    <mergeCell ref="C66:D66"/>
    <mergeCell ref="C56:D56"/>
    <mergeCell ref="C57:D57"/>
    <mergeCell ref="C58:D58"/>
    <mergeCell ref="C59:D59"/>
    <mergeCell ref="C60:D60"/>
    <mergeCell ref="C49:D49"/>
    <mergeCell ref="C50:D50"/>
    <mergeCell ref="C51:D51"/>
    <mergeCell ref="C52:D52"/>
    <mergeCell ref="C53:D53"/>
    <mergeCell ref="C54:D54"/>
    <mergeCell ref="C30:D30"/>
    <mergeCell ref="C31:D31"/>
    <mergeCell ref="C32:D32"/>
    <mergeCell ref="C33:D33"/>
    <mergeCell ref="C34:D34"/>
    <mergeCell ref="C35:D35"/>
    <mergeCell ref="C28:D28"/>
    <mergeCell ref="C29:D29"/>
    <mergeCell ref="C55:D55"/>
    <mergeCell ref="C48:D48"/>
    <mergeCell ref="C45:D45"/>
    <mergeCell ref="C46:D46"/>
    <mergeCell ref="C47:D47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22:D22"/>
    <mergeCell ref="C23:D23"/>
    <mergeCell ref="C24:D24"/>
    <mergeCell ref="C25:D25"/>
    <mergeCell ref="B7:C7"/>
    <mergeCell ref="B8:C8"/>
    <mergeCell ref="C27:D27"/>
    <mergeCell ref="C26:D26"/>
    <mergeCell ref="C20:D20"/>
    <mergeCell ref="B12:C12"/>
    <mergeCell ref="B13:C13"/>
    <mergeCell ref="C19:D19"/>
    <mergeCell ref="A1:P1"/>
    <mergeCell ref="A2:P2"/>
    <mergeCell ref="E7:H7"/>
    <mergeCell ref="E8:F8"/>
    <mergeCell ref="B4:C4"/>
    <mergeCell ref="B5:C5"/>
    <mergeCell ref="B6:C6"/>
    <mergeCell ref="C21:D21"/>
    <mergeCell ref="N12:O12"/>
    <mergeCell ref="N13:O13"/>
  </mergeCells>
  <pageMargins left="0.78749999999999998" right="0.78749999999999998" top="1.0527777777777778" bottom="1.0527777777777778" header="0.78749999999999998" footer="0.78749999999999998"/>
  <pageSetup orientation="landscape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Mode!$A$2:$A$5</xm:f>
          </x14:formula1>
          <xm:sqref>H20:H121</xm:sqref>
        </x14:dataValidation>
        <x14:dataValidation type="list" allowBlank="1" showInputMessage="1" showErrorMessage="1">
          <x14:formula1>
            <xm:f>Power!$A$2:$A$4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3"/>
  <sheetViews>
    <sheetView zoomScaleNormal="100" workbookViewId="0">
      <selection activeCell="J12" sqref="J12"/>
    </sheetView>
  </sheetViews>
  <sheetFormatPr defaultColWidth="11.5703125" defaultRowHeight="12.75" x14ac:dyDescent="0.2"/>
  <cols>
    <col min="2" max="2" width="12.28515625" customWidth="1"/>
    <col min="3" max="3" width="11.5703125" customWidth="1"/>
    <col min="4" max="4" width="8.7109375" style="15" customWidth="1"/>
    <col min="5" max="5" width="17.5703125" style="15" customWidth="1"/>
    <col min="6" max="6" width="14" style="15" customWidth="1"/>
    <col min="7" max="7" width="14.140625" customWidth="1"/>
  </cols>
  <sheetData>
    <row r="1" spans="1:9" x14ac:dyDescent="0.2">
      <c r="A1" s="83" t="s">
        <v>53</v>
      </c>
      <c r="B1" s="83"/>
      <c r="C1" s="15"/>
    </row>
    <row r="2" spans="1:9" s="24" customFormat="1" x14ac:dyDescent="0.2">
      <c r="A2" s="24" t="s">
        <v>1</v>
      </c>
      <c r="B2" s="24" t="s">
        <v>32</v>
      </c>
      <c r="C2" s="24" t="s">
        <v>79</v>
      </c>
      <c r="D2" s="14" t="s">
        <v>54</v>
      </c>
      <c r="E2" s="14" t="s">
        <v>55</v>
      </c>
      <c r="F2" s="14" t="s">
        <v>56</v>
      </c>
      <c r="G2" s="24" t="s">
        <v>57</v>
      </c>
    </row>
    <row r="3" spans="1:9" x14ac:dyDescent="0.2">
      <c r="A3" t="s">
        <v>24</v>
      </c>
      <c r="B3" t="s">
        <v>80</v>
      </c>
      <c r="C3" t="s">
        <v>81</v>
      </c>
      <c r="D3" s="15" t="s">
        <v>16</v>
      </c>
      <c r="G3" t="s">
        <v>60</v>
      </c>
    </row>
    <row r="4" spans="1:9" x14ac:dyDescent="0.2">
      <c r="A4" t="s">
        <v>13</v>
      </c>
      <c r="B4" t="s">
        <v>82</v>
      </c>
      <c r="C4" t="s">
        <v>115</v>
      </c>
      <c r="D4" s="15" t="s">
        <v>16</v>
      </c>
      <c r="G4" t="s">
        <v>58</v>
      </c>
    </row>
    <row r="5" spans="1:9" x14ac:dyDescent="0.2">
      <c r="A5" t="s">
        <v>21</v>
      </c>
      <c r="B5" t="s">
        <v>87</v>
      </c>
      <c r="C5" t="s">
        <v>83</v>
      </c>
      <c r="D5" s="15" t="s">
        <v>16</v>
      </c>
      <c r="G5" t="s">
        <v>69</v>
      </c>
    </row>
    <row r="6" spans="1:9" x14ac:dyDescent="0.2">
      <c r="A6" t="s">
        <v>23</v>
      </c>
      <c r="B6" t="s">
        <v>88</v>
      </c>
      <c r="C6" t="s">
        <v>84</v>
      </c>
      <c r="D6" s="15" t="s">
        <v>16</v>
      </c>
      <c r="G6" t="s">
        <v>62</v>
      </c>
    </row>
    <row r="7" spans="1:9" x14ac:dyDescent="0.2">
      <c r="A7" t="s">
        <v>42</v>
      </c>
      <c r="B7" t="s">
        <v>89</v>
      </c>
      <c r="C7" t="s">
        <v>85</v>
      </c>
      <c r="D7" s="15" t="s">
        <v>16</v>
      </c>
      <c r="G7" t="s">
        <v>64</v>
      </c>
    </row>
    <row r="8" spans="1:9" x14ac:dyDescent="0.2">
      <c r="A8" t="s">
        <v>44</v>
      </c>
      <c r="B8" t="s">
        <v>90</v>
      </c>
      <c r="C8" t="s">
        <v>86</v>
      </c>
      <c r="D8" s="15" t="s">
        <v>16</v>
      </c>
      <c r="G8" t="s">
        <v>66</v>
      </c>
    </row>
    <row r="9" spans="1:9" x14ac:dyDescent="0.2">
      <c r="A9" t="s">
        <v>41</v>
      </c>
      <c r="B9" t="s">
        <v>104</v>
      </c>
      <c r="C9" t="s">
        <v>91</v>
      </c>
      <c r="D9" s="15" t="s">
        <v>16</v>
      </c>
      <c r="G9" t="s">
        <v>63</v>
      </c>
    </row>
    <row r="10" spans="1:9" x14ac:dyDescent="0.2">
      <c r="A10" t="s">
        <v>25</v>
      </c>
      <c r="B10" t="s">
        <v>105</v>
      </c>
      <c r="C10" t="s">
        <v>92</v>
      </c>
      <c r="D10" s="15" t="s">
        <v>16</v>
      </c>
      <c r="G10" t="s">
        <v>64</v>
      </c>
    </row>
    <row r="11" spans="1:9" x14ac:dyDescent="0.2">
      <c r="A11" t="s">
        <v>40</v>
      </c>
      <c r="B11" t="s">
        <v>106</v>
      </c>
      <c r="C11" t="s">
        <v>93</v>
      </c>
      <c r="D11" s="15" t="s">
        <v>16</v>
      </c>
      <c r="E11" s="15">
        <v>2017</v>
      </c>
      <c r="F11" s="15">
        <v>2017</v>
      </c>
      <c r="G11" t="s">
        <v>59</v>
      </c>
      <c r="I11" s="24"/>
    </row>
    <row r="12" spans="1:9" x14ac:dyDescent="0.2">
      <c r="A12" t="s">
        <v>46</v>
      </c>
      <c r="B12" t="s">
        <v>89</v>
      </c>
      <c r="C12" t="s">
        <v>94</v>
      </c>
      <c r="D12" s="15" t="s">
        <v>16</v>
      </c>
      <c r="G12" t="s">
        <v>65</v>
      </c>
    </row>
    <row r="13" spans="1:9" x14ac:dyDescent="0.2">
      <c r="A13" t="s">
        <v>45</v>
      </c>
      <c r="B13" t="s">
        <v>107</v>
      </c>
      <c r="C13" t="s">
        <v>95</v>
      </c>
      <c r="D13" s="15" t="s">
        <v>16</v>
      </c>
      <c r="G13" t="s">
        <v>61</v>
      </c>
    </row>
    <row r="14" spans="1:9" x14ac:dyDescent="0.2">
      <c r="A14" t="s">
        <v>43</v>
      </c>
      <c r="B14" t="s">
        <v>89</v>
      </c>
      <c r="C14" t="s">
        <v>86</v>
      </c>
      <c r="D14" s="15" t="s">
        <v>16</v>
      </c>
      <c r="G14" t="s">
        <v>66</v>
      </c>
    </row>
    <row r="15" spans="1:9" x14ac:dyDescent="0.2">
      <c r="A15" t="s">
        <v>47</v>
      </c>
      <c r="B15" t="s">
        <v>108</v>
      </c>
      <c r="C15" t="s">
        <v>96</v>
      </c>
      <c r="D15" s="15" t="s">
        <v>16</v>
      </c>
      <c r="G15" t="s">
        <v>66</v>
      </c>
    </row>
    <row r="16" spans="1:9" x14ac:dyDescent="0.2">
      <c r="A16" t="s">
        <v>26</v>
      </c>
      <c r="B16" t="s">
        <v>109</v>
      </c>
      <c r="C16" t="s">
        <v>97</v>
      </c>
      <c r="D16" s="15" t="s">
        <v>16</v>
      </c>
      <c r="F16" s="15">
        <v>2003</v>
      </c>
      <c r="G16" t="s">
        <v>70</v>
      </c>
    </row>
    <row r="17" spans="1:7" x14ac:dyDescent="0.2">
      <c r="A17" t="s">
        <v>22</v>
      </c>
      <c r="B17" t="s">
        <v>110</v>
      </c>
      <c r="C17" t="s">
        <v>98</v>
      </c>
      <c r="D17" s="15" t="s">
        <v>16</v>
      </c>
      <c r="F17" s="15">
        <v>2003</v>
      </c>
      <c r="G17" t="s">
        <v>61</v>
      </c>
    </row>
    <row r="18" spans="1:7" x14ac:dyDescent="0.2">
      <c r="A18" t="s">
        <v>48</v>
      </c>
      <c r="B18" t="s">
        <v>111</v>
      </c>
      <c r="C18" t="s">
        <v>99</v>
      </c>
      <c r="D18" s="15" t="s">
        <v>16</v>
      </c>
      <c r="F18" s="15">
        <v>2018</v>
      </c>
      <c r="G18" t="s">
        <v>67</v>
      </c>
    </row>
    <row r="19" spans="1:7" x14ac:dyDescent="0.2">
      <c r="A19" t="s">
        <v>49</v>
      </c>
      <c r="B19" t="s">
        <v>112</v>
      </c>
      <c r="C19" t="s">
        <v>100</v>
      </c>
      <c r="D19" s="15" t="s">
        <v>16</v>
      </c>
      <c r="G19" t="s">
        <v>68</v>
      </c>
    </row>
    <row r="20" spans="1:7" x14ac:dyDescent="0.2">
      <c r="A20" t="s">
        <v>50</v>
      </c>
      <c r="B20" t="s">
        <v>118</v>
      </c>
      <c r="C20" t="s">
        <v>101</v>
      </c>
      <c r="D20" s="15" t="s">
        <v>16</v>
      </c>
      <c r="G20" t="s">
        <v>71</v>
      </c>
    </row>
    <row r="21" spans="1:7" x14ac:dyDescent="0.2">
      <c r="A21" t="s">
        <v>72</v>
      </c>
      <c r="B21" t="s">
        <v>113</v>
      </c>
      <c r="C21" t="s">
        <v>102</v>
      </c>
      <c r="D21" s="15" t="s">
        <v>16</v>
      </c>
      <c r="F21" s="15">
        <v>2003</v>
      </c>
      <c r="G21" t="s">
        <v>73</v>
      </c>
    </row>
    <row r="22" spans="1:7" x14ac:dyDescent="0.2">
      <c r="A22" t="s">
        <v>119</v>
      </c>
      <c r="B22" t="s">
        <v>114</v>
      </c>
      <c r="C22" t="s">
        <v>103</v>
      </c>
      <c r="D22" s="15" t="s">
        <v>16</v>
      </c>
      <c r="G22" t="s">
        <v>65</v>
      </c>
    </row>
    <row r="23" spans="1:7" x14ac:dyDescent="0.2">
      <c r="A23" t="s">
        <v>74</v>
      </c>
      <c r="B23" t="s">
        <v>112</v>
      </c>
      <c r="C23" t="s">
        <v>81</v>
      </c>
      <c r="D23" s="15" t="s">
        <v>16</v>
      </c>
      <c r="G23" t="s">
        <v>75</v>
      </c>
    </row>
    <row r="24" spans="1:7" x14ac:dyDescent="0.2">
      <c r="A24" t="s">
        <v>116</v>
      </c>
      <c r="B24" t="s">
        <v>117</v>
      </c>
      <c r="C24" t="s">
        <v>131</v>
      </c>
      <c r="D24" s="15" t="s">
        <v>16</v>
      </c>
      <c r="F24" s="15">
        <v>2019</v>
      </c>
    </row>
    <row r="25" spans="1:7" x14ac:dyDescent="0.2">
      <c r="A25" t="s">
        <v>120</v>
      </c>
      <c r="B25" t="s">
        <v>121</v>
      </c>
      <c r="C25" t="s">
        <v>122</v>
      </c>
      <c r="D25" s="15" t="s">
        <v>16</v>
      </c>
    </row>
    <row r="26" spans="1:7" x14ac:dyDescent="0.2">
      <c r="A26" t="s">
        <v>123</v>
      </c>
      <c r="B26" t="s">
        <v>124</v>
      </c>
      <c r="C26" t="s">
        <v>125</v>
      </c>
      <c r="D26" s="15" t="s">
        <v>16</v>
      </c>
    </row>
    <row r="27" spans="1:7" x14ac:dyDescent="0.2">
      <c r="A27" t="s">
        <v>126</v>
      </c>
      <c r="B27" t="s">
        <v>121</v>
      </c>
      <c r="C27" t="s">
        <v>125</v>
      </c>
      <c r="D27" s="15" t="s">
        <v>16</v>
      </c>
    </row>
    <row r="28" spans="1:7" x14ac:dyDescent="0.2">
      <c r="A28" t="s">
        <v>127</v>
      </c>
      <c r="B28" t="s">
        <v>128</v>
      </c>
      <c r="C28" t="s">
        <v>125</v>
      </c>
      <c r="D28" s="15" t="s">
        <v>16</v>
      </c>
    </row>
    <row r="29" spans="1:7" x14ac:dyDescent="0.2">
      <c r="A29" t="s">
        <v>129</v>
      </c>
      <c r="B29" t="s">
        <v>109</v>
      </c>
      <c r="C29" t="s">
        <v>130</v>
      </c>
      <c r="D29" s="15" t="s">
        <v>16</v>
      </c>
      <c r="F29" s="15">
        <v>2018</v>
      </c>
    </row>
    <row r="30" spans="1:7" x14ac:dyDescent="0.2">
      <c r="A30" t="s">
        <v>132</v>
      </c>
      <c r="B30" t="s">
        <v>133</v>
      </c>
      <c r="C30" t="s">
        <v>134</v>
      </c>
      <c r="D30" s="15" t="s">
        <v>16</v>
      </c>
    </row>
    <row r="31" spans="1:7" x14ac:dyDescent="0.2">
      <c r="A31" t="s">
        <v>135</v>
      </c>
      <c r="B31" t="s">
        <v>136</v>
      </c>
      <c r="C31" t="s">
        <v>137</v>
      </c>
      <c r="D31" s="15" t="s">
        <v>16</v>
      </c>
    </row>
    <row r="32" spans="1:7" x14ac:dyDescent="0.2">
      <c r="A32" t="s">
        <v>138</v>
      </c>
      <c r="B32" t="s">
        <v>139</v>
      </c>
      <c r="C32" t="s">
        <v>140</v>
      </c>
      <c r="D32" s="15" t="s">
        <v>16</v>
      </c>
    </row>
    <row r="33" spans="1:6" x14ac:dyDescent="0.2">
      <c r="A33" t="s">
        <v>141</v>
      </c>
      <c r="B33" t="s">
        <v>142</v>
      </c>
      <c r="C33" t="s">
        <v>143</v>
      </c>
      <c r="D33" s="15" t="s">
        <v>16</v>
      </c>
    </row>
    <row r="34" spans="1:6" x14ac:dyDescent="0.2">
      <c r="A34" t="s">
        <v>144</v>
      </c>
      <c r="B34" t="s">
        <v>143</v>
      </c>
      <c r="C34" t="s">
        <v>145</v>
      </c>
      <c r="D34" s="15" t="s">
        <v>16</v>
      </c>
    </row>
    <row r="35" spans="1:6" x14ac:dyDescent="0.2">
      <c r="A35" t="s">
        <v>146</v>
      </c>
      <c r="B35" t="s">
        <v>147</v>
      </c>
      <c r="C35" t="s">
        <v>99</v>
      </c>
      <c r="D35" s="15" t="s">
        <v>16</v>
      </c>
    </row>
    <row r="36" spans="1:6" x14ac:dyDescent="0.2">
      <c r="A36" t="s">
        <v>148</v>
      </c>
      <c r="B36" t="s">
        <v>149</v>
      </c>
      <c r="C36" t="s">
        <v>150</v>
      </c>
      <c r="D36" s="15" t="s">
        <v>16</v>
      </c>
      <c r="F36" s="15">
        <v>2019</v>
      </c>
    </row>
    <row r="37" spans="1:6" x14ac:dyDescent="0.2">
      <c r="A37" t="s">
        <v>151</v>
      </c>
      <c r="B37" t="s">
        <v>152</v>
      </c>
      <c r="C37" t="s">
        <v>153</v>
      </c>
      <c r="D37" s="15" t="s">
        <v>16</v>
      </c>
      <c r="F37" s="15">
        <v>2019</v>
      </c>
    </row>
    <row r="38" spans="1:6" x14ac:dyDescent="0.2">
      <c r="A38" t="s">
        <v>154</v>
      </c>
      <c r="B38" t="s">
        <v>157</v>
      </c>
      <c r="C38" t="s">
        <v>158</v>
      </c>
      <c r="D38" s="15" t="s">
        <v>16</v>
      </c>
    </row>
    <row r="39" spans="1:6" x14ac:dyDescent="0.2">
      <c r="A39" t="s">
        <v>159</v>
      </c>
      <c r="B39" t="s">
        <v>82</v>
      </c>
      <c r="C39" t="s">
        <v>160</v>
      </c>
      <c r="D39" s="15" t="s">
        <v>16</v>
      </c>
      <c r="F39" s="15">
        <v>2019</v>
      </c>
    </row>
    <row r="40" spans="1:6" x14ac:dyDescent="0.2">
      <c r="A40" t="s">
        <v>161</v>
      </c>
      <c r="B40" t="s">
        <v>162</v>
      </c>
      <c r="C40" t="s">
        <v>163</v>
      </c>
      <c r="D40" s="15" t="s">
        <v>16</v>
      </c>
    </row>
    <row r="41" spans="1:6" x14ac:dyDescent="0.2">
      <c r="A41" t="s">
        <v>164</v>
      </c>
      <c r="B41" t="s">
        <v>155</v>
      </c>
      <c r="C41" t="s">
        <v>156</v>
      </c>
      <c r="D41" s="15" t="s">
        <v>16</v>
      </c>
    </row>
    <row r="42" spans="1:6" x14ac:dyDescent="0.2">
      <c r="A42" t="s">
        <v>167</v>
      </c>
      <c r="B42" t="s">
        <v>165</v>
      </c>
      <c r="C42" t="s">
        <v>166</v>
      </c>
      <c r="D42" s="15" t="s">
        <v>16</v>
      </c>
      <c r="F42" s="15">
        <v>2018</v>
      </c>
    </row>
    <row r="43" spans="1:6" x14ac:dyDescent="0.2">
      <c r="A43" t="s">
        <v>168</v>
      </c>
      <c r="B43" t="s">
        <v>169</v>
      </c>
      <c r="C43" t="s">
        <v>170</v>
      </c>
      <c r="D43" s="15" t="s">
        <v>16</v>
      </c>
      <c r="F43" s="15">
        <v>2019</v>
      </c>
    </row>
  </sheetData>
  <sheetProtection selectLockedCells="1" selectUnlockedCells="1"/>
  <mergeCells count="1">
    <mergeCell ref="A1:B1"/>
  </mergeCells>
  <pageMargins left="0.78749999999999998" right="0.78749999999999998" top="1.0527777777777778" bottom="1.0527777777777778" header="0.78749999999999998" footer="0.78749999999999998"/>
  <pageSetup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zoomScaleNormal="100" workbookViewId="0">
      <selection activeCell="A5" sqref="A1:B5"/>
    </sheetView>
  </sheetViews>
  <sheetFormatPr defaultColWidth="11.5703125" defaultRowHeight="12.75" x14ac:dyDescent="0.2"/>
  <sheetData>
    <row r="1" spans="1:4" ht="13.5" thickBot="1" x14ac:dyDescent="0.25">
      <c r="A1" s="23" t="s">
        <v>4</v>
      </c>
      <c r="B1" s="23" t="s">
        <v>6</v>
      </c>
    </row>
    <row r="2" spans="1:4" ht="13.5" thickTop="1" x14ac:dyDescent="0.2">
      <c r="A2" s="5" t="s">
        <v>17</v>
      </c>
      <c r="B2" s="4">
        <v>3</v>
      </c>
    </row>
    <row r="3" spans="1:4" x14ac:dyDescent="0.2">
      <c r="A3" s="16" t="s">
        <v>18</v>
      </c>
      <c r="B3" s="21">
        <v>5</v>
      </c>
    </row>
    <row r="4" spans="1:4" x14ac:dyDescent="0.2">
      <c r="A4" s="16" t="s">
        <v>19</v>
      </c>
      <c r="B4" s="21">
        <v>3</v>
      </c>
    </row>
    <row r="5" spans="1:4" x14ac:dyDescent="0.2">
      <c r="A5" s="16" t="s">
        <v>20</v>
      </c>
      <c r="B5" s="21">
        <v>3</v>
      </c>
      <c r="D5" s="15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sqref="A1:B1"/>
    </sheetView>
  </sheetViews>
  <sheetFormatPr defaultRowHeight="12.75" x14ac:dyDescent="0.2"/>
  <sheetData>
    <row r="1" spans="1:2" x14ac:dyDescent="0.2">
      <c r="A1" s="83" t="s">
        <v>77</v>
      </c>
      <c r="B1" s="83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A3" sqref="A3"/>
    </sheetView>
  </sheetViews>
  <sheetFormatPr defaultRowHeight="12.75" x14ac:dyDescent="0.2"/>
  <sheetData>
    <row r="1" spans="1:6" ht="13.5" thickBot="1" x14ac:dyDescent="0.25">
      <c r="A1" s="22" t="s">
        <v>78</v>
      </c>
      <c r="B1" s="22" t="s">
        <v>7</v>
      </c>
    </row>
    <row r="2" spans="1:6" ht="13.5" thickTop="1" x14ac:dyDescent="0.2">
      <c r="A2" s="5" t="s">
        <v>27</v>
      </c>
      <c r="B2" s="4">
        <v>1</v>
      </c>
    </row>
    <row r="3" spans="1:6" x14ac:dyDescent="0.2">
      <c r="A3" s="16" t="s">
        <v>28</v>
      </c>
      <c r="B3" s="21">
        <v>2</v>
      </c>
    </row>
    <row r="4" spans="1:6" x14ac:dyDescent="0.2">
      <c r="A4" s="16" t="s">
        <v>29</v>
      </c>
      <c r="B4" s="21">
        <v>3</v>
      </c>
    </row>
    <row r="6" spans="1:6" x14ac:dyDescent="0.2">
      <c r="F6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Reunion Log</vt:lpstr>
      <vt:lpstr>SCARS Member Roster</vt:lpstr>
      <vt:lpstr>Mode</vt:lpstr>
      <vt:lpstr>Band</vt:lpstr>
      <vt:lpstr>Power</vt:lpstr>
      <vt:lpstr>'Reunion Log'!Print_Area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Reunion Log</dc:subject>
  <dc:creator>Chuck DuVall</dc:creator>
  <cp:lastModifiedBy>Chuck DuVall</cp:lastModifiedBy>
  <dcterms:created xsi:type="dcterms:W3CDTF">2019-03-29T11:02:39Z</dcterms:created>
  <dcterms:modified xsi:type="dcterms:W3CDTF">2019-11-08T02:43:04Z</dcterms:modified>
  <cp:category>Radio</cp:category>
</cp:coreProperties>
</file>